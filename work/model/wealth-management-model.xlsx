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pc\Downloads\"/>
    </mc:Choice>
  </mc:AlternateContent>
  <xr:revisionPtr revIDLastSave="0" documentId="13_ncr:1_{973C68EC-BF44-48C3-B45E-14E0447723D1}" xr6:coauthVersionLast="47" xr6:coauthVersionMax="47" xr10:uidLastSave="{00000000-0000-0000-0000-000000000000}"/>
  <bookViews>
    <workbookView xWindow="-105" yWindow="0" windowWidth="16560" windowHeight="15585" tabRatio="500" firstSheet="3" activeTab="3" xr2:uid="{00000000-000D-0000-FFFF-FFFF00000000}"/>
  </bookViews>
  <sheets>
    <sheet name="ClientBrief" sheetId="1" r:id="rId1"/>
    <sheet name="Inputs" sheetId="2" r:id="rId2"/>
    <sheet name="Rules" sheetId="3" r:id="rId3"/>
    <sheet name="Engine" sheetId="4" r:id="rId4"/>
    <sheet name="Scenarios" sheetId="5" r:id="rId5"/>
    <sheet name="Sensitivity" sheetId="6" r:id="rId6"/>
    <sheet name="MonteCarlo" sheetId="7" r:id="rId7"/>
    <sheet name="Dashboard" sheetId="8" r:id="rId8"/>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9" i="7" l="1"/>
  <c r="C8" i="7"/>
  <c r="C7" i="7"/>
  <c r="C5" i="7"/>
  <c r="C7" i="6"/>
  <c r="C5" i="6"/>
  <c r="T24" i="5"/>
  <c r="O24" i="5"/>
  <c r="J24" i="5"/>
  <c r="R15" i="5"/>
  <c r="M15" i="5"/>
  <c r="H15" i="5"/>
  <c r="C15" i="5"/>
  <c r="U36" i="4"/>
  <c r="M36" i="4"/>
  <c r="F36" i="4"/>
  <c r="E36" i="4"/>
  <c r="I36" i="4" s="1"/>
  <c r="D36" i="4"/>
  <c r="C36" i="4"/>
  <c r="U35" i="4"/>
  <c r="M35" i="4"/>
  <c r="F35" i="4"/>
  <c r="H35" i="4" s="1"/>
  <c r="E35" i="4"/>
  <c r="D35" i="4"/>
  <c r="C35" i="4"/>
  <c r="U34" i="4"/>
  <c r="M34" i="4"/>
  <c r="J34" i="4"/>
  <c r="F34" i="4"/>
  <c r="E34" i="4"/>
  <c r="D34" i="4"/>
  <c r="C34" i="4"/>
  <c r="U33" i="4"/>
  <c r="M33" i="4"/>
  <c r="J33" i="4"/>
  <c r="I33" i="4"/>
  <c r="H33" i="4"/>
  <c r="G33" i="4"/>
  <c r="K33" i="4" s="1"/>
  <c r="N33" i="4" s="1"/>
  <c r="F33" i="4"/>
  <c r="E33" i="4"/>
  <c r="D33" i="4"/>
  <c r="C33" i="4"/>
  <c r="U32" i="4"/>
  <c r="M32" i="4"/>
  <c r="I32" i="4"/>
  <c r="H32" i="4"/>
  <c r="Q32" i="4" s="1"/>
  <c r="S32" i="4" s="1"/>
  <c r="G32" i="4"/>
  <c r="F32" i="4"/>
  <c r="J32" i="4" s="1"/>
  <c r="E32" i="4"/>
  <c r="D32" i="4"/>
  <c r="C32" i="4"/>
  <c r="U31" i="4"/>
  <c r="M31" i="4"/>
  <c r="F31" i="4"/>
  <c r="J31" i="4" s="1"/>
  <c r="E31" i="4"/>
  <c r="H31" i="4" s="1"/>
  <c r="L31" i="4" s="1"/>
  <c r="D31" i="4"/>
  <c r="C31" i="4"/>
  <c r="U30" i="4"/>
  <c r="M30" i="4"/>
  <c r="J30" i="4"/>
  <c r="F30" i="4"/>
  <c r="E30" i="4"/>
  <c r="D30" i="4"/>
  <c r="C30" i="4"/>
  <c r="U29" i="4"/>
  <c r="M29" i="4"/>
  <c r="F29" i="4"/>
  <c r="E29" i="4"/>
  <c r="D29" i="4"/>
  <c r="C29" i="4"/>
  <c r="U28" i="4"/>
  <c r="M28" i="4"/>
  <c r="J28" i="4"/>
  <c r="H28" i="4"/>
  <c r="L28" i="4" s="1"/>
  <c r="F28" i="4"/>
  <c r="E28" i="4"/>
  <c r="G28" i="4" s="1"/>
  <c r="D28" i="4"/>
  <c r="C28" i="4"/>
  <c r="U27" i="4"/>
  <c r="M27" i="4"/>
  <c r="J27" i="4"/>
  <c r="I27" i="4"/>
  <c r="H27" i="4"/>
  <c r="L27" i="4" s="1"/>
  <c r="F27" i="4"/>
  <c r="G27" i="4" s="1"/>
  <c r="K27" i="4" s="1"/>
  <c r="N27" i="4" s="1"/>
  <c r="E27" i="4"/>
  <c r="D27" i="4"/>
  <c r="C27" i="4"/>
  <c r="U26" i="4"/>
  <c r="M26" i="4"/>
  <c r="I26" i="4"/>
  <c r="F26" i="4"/>
  <c r="E26" i="4"/>
  <c r="D26" i="4"/>
  <c r="C26" i="4"/>
  <c r="U25" i="4"/>
  <c r="M25" i="4"/>
  <c r="H25" i="4"/>
  <c r="G25" i="4"/>
  <c r="P25" i="4" s="1"/>
  <c r="F25" i="4"/>
  <c r="E25" i="4"/>
  <c r="I25" i="4" s="1"/>
  <c r="D25" i="4"/>
  <c r="C25" i="4"/>
  <c r="U24" i="4"/>
  <c r="M24" i="4"/>
  <c r="F24" i="4"/>
  <c r="E24" i="4"/>
  <c r="I24" i="4" s="1"/>
  <c r="D24" i="4"/>
  <c r="C24" i="4"/>
  <c r="U23" i="4"/>
  <c r="M23" i="4"/>
  <c r="J23" i="4"/>
  <c r="I23" i="4"/>
  <c r="F23" i="4"/>
  <c r="H23" i="4" s="1"/>
  <c r="Q23" i="4" s="1"/>
  <c r="S23" i="4" s="1"/>
  <c r="E23" i="4"/>
  <c r="D23" i="4"/>
  <c r="C23" i="4"/>
  <c r="U22" i="4"/>
  <c r="M22" i="4"/>
  <c r="J22" i="4"/>
  <c r="F22" i="4"/>
  <c r="E22" i="4"/>
  <c r="H22" i="4" s="1"/>
  <c r="L22" i="4" s="1"/>
  <c r="O22" i="4" s="1"/>
  <c r="D22" i="4"/>
  <c r="C22" i="4"/>
  <c r="U21" i="4"/>
  <c r="M21" i="4"/>
  <c r="J21" i="4"/>
  <c r="I21" i="4"/>
  <c r="H21" i="4"/>
  <c r="L21" i="4" s="1"/>
  <c r="G21" i="4"/>
  <c r="K21" i="4" s="1"/>
  <c r="F21" i="4"/>
  <c r="E21" i="4"/>
  <c r="D21" i="4"/>
  <c r="C21" i="4"/>
  <c r="U20" i="4"/>
  <c r="M20" i="4"/>
  <c r="F20" i="4"/>
  <c r="J20" i="4" s="1"/>
  <c r="E20" i="4"/>
  <c r="I20" i="4" s="1"/>
  <c r="D20" i="4"/>
  <c r="C20" i="4"/>
  <c r="U19" i="4"/>
  <c r="M19" i="4"/>
  <c r="F19" i="4"/>
  <c r="E19" i="4"/>
  <c r="D19" i="4"/>
  <c r="C19" i="4"/>
  <c r="U18" i="4"/>
  <c r="M18" i="4"/>
  <c r="J18" i="4"/>
  <c r="F18" i="4"/>
  <c r="E18" i="4"/>
  <c r="D18" i="4"/>
  <c r="C18" i="4"/>
  <c r="U17" i="4"/>
  <c r="M17" i="4"/>
  <c r="F17" i="4"/>
  <c r="J17" i="4" s="1"/>
  <c r="E17" i="4"/>
  <c r="H17" i="4" s="1"/>
  <c r="D17" i="4"/>
  <c r="C17" i="4"/>
  <c r="U16" i="4"/>
  <c r="M16" i="4"/>
  <c r="J16" i="4"/>
  <c r="I16" i="4"/>
  <c r="H16" i="4"/>
  <c r="Q16" i="4" s="1"/>
  <c r="S16" i="4" s="1"/>
  <c r="F16" i="4"/>
  <c r="E16" i="4"/>
  <c r="G16" i="4" s="1"/>
  <c r="P16" i="4" s="1"/>
  <c r="D16" i="4"/>
  <c r="C16" i="4"/>
  <c r="U15" i="4"/>
  <c r="M15" i="4"/>
  <c r="I15" i="4"/>
  <c r="F15" i="4"/>
  <c r="E15" i="4"/>
  <c r="D15" i="4"/>
  <c r="C15" i="4"/>
  <c r="U14" i="4"/>
  <c r="M14" i="4"/>
  <c r="I14" i="4"/>
  <c r="F14" i="4"/>
  <c r="H14" i="4" s="1"/>
  <c r="E14" i="4"/>
  <c r="D14" i="4"/>
  <c r="C14" i="4"/>
  <c r="U13" i="4"/>
  <c r="M13" i="4"/>
  <c r="I13" i="4"/>
  <c r="F13" i="4"/>
  <c r="H13" i="4" s="1"/>
  <c r="E13" i="4"/>
  <c r="D13" i="4"/>
  <c r="C13" i="4"/>
  <c r="U12" i="4"/>
  <c r="M12" i="4"/>
  <c r="I12" i="4"/>
  <c r="F12" i="4"/>
  <c r="G12" i="4" s="1"/>
  <c r="K12" i="4" s="1"/>
  <c r="E12" i="4"/>
  <c r="D12" i="4"/>
  <c r="C12" i="4"/>
  <c r="U11" i="4"/>
  <c r="M11" i="4"/>
  <c r="I11" i="4"/>
  <c r="F11" i="4"/>
  <c r="H11" i="4" s="1"/>
  <c r="E11" i="4"/>
  <c r="D11" i="4"/>
  <c r="C11" i="4"/>
  <c r="U10" i="4"/>
  <c r="M10" i="4"/>
  <c r="I10" i="4"/>
  <c r="F10" i="4"/>
  <c r="J10" i="4" s="1"/>
  <c r="E10" i="4"/>
  <c r="D10" i="4"/>
  <c r="C10" i="4"/>
  <c r="U9" i="4"/>
  <c r="M9" i="4"/>
  <c r="J9" i="4"/>
  <c r="I9" i="4"/>
  <c r="H9" i="4"/>
  <c r="Q9" i="4" s="1"/>
  <c r="S9" i="4" s="1"/>
  <c r="F9" i="4"/>
  <c r="E9" i="4"/>
  <c r="G9" i="4" s="1"/>
  <c r="D9" i="4"/>
  <c r="C9" i="4"/>
  <c r="U8" i="4"/>
  <c r="M8" i="4"/>
  <c r="F8" i="4"/>
  <c r="J8" i="4" s="1"/>
  <c r="E8" i="4"/>
  <c r="I8" i="4" s="1"/>
  <c r="D8" i="4"/>
  <c r="C8" i="4"/>
  <c r="AJ7" i="4"/>
  <c r="AE7" i="4"/>
  <c r="AA7" i="4"/>
  <c r="W7" i="4"/>
  <c r="V7" i="4"/>
  <c r="AB7" i="4" s="1"/>
  <c r="U7" i="4"/>
  <c r="M7" i="4"/>
  <c r="I7" i="4"/>
  <c r="F7" i="4"/>
  <c r="E7" i="4"/>
  <c r="D7" i="4"/>
  <c r="C7" i="4"/>
  <c r="M2" i="4"/>
  <c r="E52" i="2"/>
  <c r="D52" i="2"/>
  <c r="E51" i="2"/>
  <c r="D50" i="2"/>
  <c r="F49" i="2"/>
  <c r="E24" i="5" s="1"/>
  <c r="C28" i="2"/>
  <c r="C19" i="2"/>
  <c r="Q21" i="4" l="1"/>
  <c r="S21" i="4" s="1"/>
  <c r="O27" i="4"/>
  <c r="L23" i="4"/>
  <c r="P27" i="4"/>
  <c r="K16" i="4"/>
  <c r="AF16" i="4" s="1"/>
  <c r="P32" i="4"/>
  <c r="R32" i="4" s="1"/>
  <c r="AK21" i="4"/>
  <c r="O21" i="4"/>
  <c r="O31" i="4"/>
  <c r="P12" i="4"/>
  <c r="O23" i="4"/>
  <c r="AK23" i="4"/>
  <c r="R16" i="4"/>
  <c r="T16" i="4" s="1"/>
  <c r="P9" i="4"/>
  <c r="K9" i="4"/>
  <c r="N12" i="4"/>
  <c r="AC7" i="4"/>
  <c r="AD7" i="4" s="1"/>
  <c r="AA8" i="4" s="1"/>
  <c r="L14" i="4"/>
  <c r="L17" i="4"/>
  <c r="Q17" i="4"/>
  <c r="S17" i="4" s="1"/>
  <c r="H20" i="4"/>
  <c r="P21" i="4"/>
  <c r="AF21" i="4" s="1"/>
  <c r="P33" i="4"/>
  <c r="AF33" i="4" s="1"/>
  <c r="I24" i="5"/>
  <c r="S24" i="5"/>
  <c r="D24" i="5"/>
  <c r="G7" i="4"/>
  <c r="K7" i="4" s="1"/>
  <c r="L16" i="4"/>
  <c r="G23" i="4"/>
  <c r="P28" i="4"/>
  <c r="H10" i="4"/>
  <c r="L10" i="4" s="1"/>
  <c r="C9" i="6"/>
  <c r="C8" i="6"/>
  <c r="C12" i="7"/>
  <c r="C11" i="7"/>
  <c r="C10" i="7"/>
  <c r="Q11" i="4"/>
  <c r="S11" i="4" s="1"/>
  <c r="J12" i="4"/>
  <c r="H12" i="4"/>
  <c r="E25" i="5"/>
  <c r="H7" i="4"/>
  <c r="Q7" i="4" s="1"/>
  <c r="S7" i="4" s="1"/>
  <c r="R25" i="4"/>
  <c r="Q28" i="4"/>
  <c r="S28" i="4" s="1"/>
  <c r="T32" i="4"/>
  <c r="J14" i="4"/>
  <c r="Q14" i="4"/>
  <c r="S14" i="4" s="1"/>
  <c r="I17" i="4"/>
  <c r="G17" i="4"/>
  <c r="P17" i="4" s="1"/>
  <c r="R27" i="4"/>
  <c r="J7" i="4"/>
  <c r="L9" i="4"/>
  <c r="G10" i="4"/>
  <c r="K10" i="4" s="1"/>
  <c r="G11" i="4"/>
  <c r="K11" i="4" s="1"/>
  <c r="G14" i="4"/>
  <c r="K14" i="4" s="1"/>
  <c r="N16" i="4"/>
  <c r="J24" i="4"/>
  <c r="H24" i="4"/>
  <c r="L24" i="4" s="1"/>
  <c r="H34" i="4"/>
  <c r="G34" i="4"/>
  <c r="P34" i="4" s="1"/>
  <c r="I34" i="4"/>
  <c r="G35" i="4"/>
  <c r="P35" i="4" s="1"/>
  <c r="J36" i="4"/>
  <c r="H36" i="4"/>
  <c r="G8" i="4"/>
  <c r="H19" i="4"/>
  <c r="L19" i="4" s="1"/>
  <c r="Q22" i="4"/>
  <c r="S22" i="4" s="1"/>
  <c r="H29" i="4"/>
  <c r="Q29" i="4" s="1"/>
  <c r="S29" i="4" s="1"/>
  <c r="J29" i="4"/>
  <c r="H30" i="4"/>
  <c r="L30" i="4" s="1"/>
  <c r="I35" i="4"/>
  <c r="M24" i="5"/>
  <c r="G36" i="4"/>
  <c r="K36" i="4" s="1"/>
  <c r="X7" i="4"/>
  <c r="J11" i="4"/>
  <c r="L11" i="4" s="1"/>
  <c r="Y7" i="4"/>
  <c r="Z7" i="4" s="1"/>
  <c r="V8" i="4" s="1"/>
  <c r="H8" i="4"/>
  <c r="L8" i="4" s="1"/>
  <c r="J19" i="4"/>
  <c r="Q25" i="4"/>
  <c r="S25" i="4" s="1"/>
  <c r="J25" i="4"/>
  <c r="L25" i="4" s="1"/>
  <c r="G30" i="4"/>
  <c r="K30" i="4" s="1"/>
  <c r="G31" i="4"/>
  <c r="K31" i="4" s="1"/>
  <c r="K32" i="4"/>
  <c r="L33" i="4"/>
  <c r="Q33" i="4"/>
  <c r="S33" i="4" s="1"/>
  <c r="J35" i="4"/>
  <c r="L35" i="4" s="1"/>
  <c r="N24" i="5"/>
  <c r="G15" i="4"/>
  <c r="J26" i="4"/>
  <c r="AK28" i="4"/>
  <c r="O28" i="4"/>
  <c r="O25" i="5"/>
  <c r="G13" i="4"/>
  <c r="H15" i="4"/>
  <c r="Q15" i="4" s="1"/>
  <c r="S15" i="4" s="1"/>
  <c r="I18" i="4"/>
  <c r="G26" i="4"/>
  <c r="I28" i="4"/>
  <c r="K28" i="4" s="1"/>
  <c r="Q36" i="4"/>
  <c r="S36" i="4" s="1"/>
  <c r="T25" i="5"/>
  <c r="G24" i="4"/>
  <c r="K24" i="4" s="1"/>
  <c r="I29" i="4"/>
  <c r="G29" i="4"/>
  <c r="P29" i="4" s="1"/>
  <c r="H18" i="4"/>
  <c r="N21" i="4"/>
  <c r="G22" i="4"/>
  <c r="Q24" i="4"/>
  <c r="S24" i="4" s="1"/>
  <c r="K25" i="4"/>
  <c r="H26" i="4"/>
  <c r="L26" i="4" s="1"/>
  <c r="L32" i="4"/>
  <c r="I19" i="4"/>
  <c r="G19" i="4"/>
  <c r="I31" i="4"/>
  <c r="Q13" i="4"/>
  <c r="S13" i="4" s="1"/>
  <c r="J13" i="4"/>
  <c r="L13" i="4" s="1"/>
  <c r="AF27" i="4"/>
  <c r="H24" i="5"/>
  <c r="R24" i="5"/>
  <c r="C24" i="5"/>
  <c r="J15" i="4"/>
  <c r="G18" i="4"/>
  <c r="K18" i="4" s="1"/>
  <c r="G20" i="4"/>
  <c r="K20" i="4" s="1"/>
  <c r="I22" i="4"/>
  <c r="Q31" i="4"/>
  <c r="S31" i="4" s="1"/>
  <c r="Q35" i="4"/>
  <c r="S35" i="4" s="1"/>
  <c r="I30" i="4"/>
  <c r="Q27" i="4"/>
  <c r="S27" i="4" s="1"/>
  <c r="F12" i="8"/>
  <c r="E12" i="8"/>
  <c r="D12" i="8"/>
  <c r="C12" i="8"/>
  <c r="T25" i="4" l="1"/>
  <c r="P14" i="4"/>
  <c r="P18" i="4"/>
  <c r="Q10" i="4"/>
  <c r="S10" i="4" s="1"/>
  <c r="Q8" i="4"/>
  <c r="S8" i="4" s="1"/>
  <c r="AK22" i="4"/>
  <c r="Q30" i="4"/>
  <c r="S30" i="4" s="1"/>
  <c r="Q26" i="4"/>
  <c r="S26" i="4" s="1"/>
  <c r="P11" i="4"/>
  <c r="R11" i="4" s="1"/>
  <c r="T11" i="4" s="1"/>
  <c r="N28" i="4"/>
  <c r="AF28" i="4"/>
  <c r="O25" i="4"/>
  <c r="AK25" i="4"/>
  <c r="O11" i="4"/>
  <c r="AK11" i="4"/>
  <c r="O35" i="4"/>
  <c r="AK35" i="4"/>
  <c r="O13" i="4"/>
  <c r="AK13" i="4"/>
  <c r="AK32" i="4"/>
  <c r="O32" i="4"/>
  <c r="N36" i="4"/>
  <c r="N24" i="4"/>
  <c r="AK33" i="4"/>
  <c r="O33" i="4"/>
  <c r="R35" i="4"/>
  <c r="T35" i="4" s="1"/>
  <c r="AK10" i="4"/>
  <c r="O10" i="4"/>
  <c r="C25" i="5"/>
  <c r="F24" i="5"/>
  <c r="AK26" i="4"/>
  <c r="O26" i="4"/>
  <c r="P36" i="4"/>
  <c r="AF32" i="4"/>
  <c r="N32" i="4"/>
  <c r="M25" i="5"/>
  <c r="P24" i="5"/>
  <c r="K35" i="4"/>
  <c r="L7" i="4"/>
  <c r="R28" i="4"/>
  <c r="T28" i="4" s="1"/>
  <c r="AK17" i="4"/>
  <c r="O17" i="4"/>
  <c r="K23" i="4"/>
  <c r="P23" i="4"/>
  <c r="E26" i="5"/>
  <c r="E27" i="5" s="1"/>
  <c r="E28" i="5" s="1"/>
  <c r="E29" i="5" s="1"/>
  <c r="E30" i="5" s="1"/>
  <c r="E31" i="5" s="1"/>
  <c r="E32" i="5" s="1"/>
  <c r="E33" i="5" s="1"/>
  <c r="E34" i="5" s="1"/>
  <c r="E35" i="5" s="1"/>
  <c r="E36" i="5" s="1"/>
  <c r="E37" i="5" s="1"/>
  <c r="E38" i="5" s="1"/>
  <c r="E39" i="5" s="1"/>
  <c r="E40" i="5" s="1"/>
  <c r="E41" i="5" s="1"/>
  <c r="E42" i="5" s="1"/>
  <c r="E43" i="5" s="1"/>
  <c r="E44" i="5" s="1"/>
  <c r="E45" i="5" s="1"/>
  <c r="E46" i="5" s="1"/>
  <c r="E47" i="5" s="1"/>
  <c r="E48" i="5" s="1"/>
  <c r="E49" i="5" s="1"/>
  <c r="E50" i="5" s="1"/>
  <c r="E51" i="5" s="1"/>
  <c r="E52" i="5" s="1"/>
  <c r="E53" i="5" s="1"/>
  <c r="C8" i="5" s="1"/>
  <c r="O14" i="4"/>
  <c r="AK14" i="4"/>
  <c r="K24" i="5"/>
  <c r="H25" i="5"/>
  <c r="N30" i="4"/>
  <c r="K34" i="4"/>
  <c r="Q12" i="4"/>
  <c r="S12" i="4" s="1"/>
  <c r="L12" i="4"/>
  <c r="AK16" i="4"/>
  <c r="O16" i="4"/>
  <c r="AK27" i="4"/>
  <c r="R14" i="4"/>
  <c r="T14" i="4" s="1"/>
  <c r="N31" i="4"/>
  <c r="T27" i="4"/>
  <c r="P22" i="4"/>
  <c r="K22" i="4"/>
  <c r="K26" i="4"/>
  <c r="P26" i="4"/>
  <c r="O30" i="4"/>
  <c r="L34" i="4"/>
  <c r="Q34" i="4"/>
  <c r="S34" i="4" s="1"/>
  <c r="K17" i="4"/>
  <c r="C6" i="6"/>
  <c r="F19" i="6" s="1"/>
  <c r="N7" i="4"/>
  <c r="W8" i="4"/>
  <c r="X8" i="4" s="1"/>
  <c r="Y8" i="4" s="1"/>
  <c r="AB8" i="4"/>
  <c r="AC8" i="4" s="1"/>
  <c r="AK9" i="4"/>
  <c r="O9" i="4"/>
  <c r="R25" i="5"/>
  <c r="U24" i="5"/>
  <c r="O24" i="4"/>
  <c r="AK24" i="4"/>
  <c r="D25" i="5"/>
  <c r="D26" i="5" s="1"/>
  <c r="D27" i="5" s="1"/>
  <c r="D28" i="5" s="1"/>
  <c r="D29" i="5" s="1"/>
  <c r="D30" i="5" s="1"/>
  <c r="D31" i="5" s="1"/>
  <c r="D32" i="5" s="1"/>
  <c r="D33" i="5" s="1"/>
  <c r="D34" i="5" s="1"/>
  <c r="D35" i="5" s="1"/>
  <c r="D36" i="5" s="1"/>
  <c r="D37" i="5" s="1"/>
  <c r="D38" i="5" s="1"/>
  <c r="D39" i="5" s="1"/>
  <c r="D40" i="5" s="1"/>
  <c r="D41" i="5" s="1"/>
  <c r="D42" i="5" s="1"/>
  <c r="D43" i="5" s="1"/>
  <c r="D44" i="5" s="1"/>
  <c r="D45" i="5" s="1"/>
  <c r="D46" i="5" s="1"/>
  <c r="D47" i="5" s="1"/>
  <c r="D48" i="5" s="1"/>
  <c r="D49" i="5" s="1"/>
  <c r="D50" i="5" s="1"/>
  <c r="D51" i="5" s="1"/>
  <c r="D52" i="5" s="1"/>
  <c r="D53" i="5" s="1"/>
  <c r="C9" i="5" s="1"/>
  <c r="R34" i="4"/>
  <c r="T34" i="4" s="1"/>
  <c r="L18" i="4"/>
  <c r="Q18" i="4"/>
  <c r="S18" i="4" s="1"/>
  <c r="P20" i="4"/>
  <c r="L29" i="4"/>
  <c r="S25" i="5"/>
  <c r="S26" i="5" s="1"/>
  <c r="S27" i="5" s="1"/>
  <c r="S28" i="5" s="1"/>
  <c r="S29" i="5" s="1"/>
  <c r="S30" i="5" s="1"/>
  <c r="S31" i="5" s="1"/>
  <c r="S32" i="5" s="1"/>
  <c r="S33" i="5" s="1"/>
  <c r="S34" i="5" s="1"/>
  <c r="S35" i="5" s="1"/>
  <c r="S36" i="5" s="1"/>
  <c r="S37" i="5" s="1"/>
  <c r="S38" i="5" s="1"/>
  <c r="S39" i="5" s="1"/>
  <c r="S40" i="5" s="1"/>
  <c r="S41" i="5" s="1"/>
  <c r="S42" i="5" s="1"/>
  <c r="S43" i="5" s="1"/>
  <c r="S44" i="5" s="1"/>
  <c r="S45" i="5" s="1"/>
  <c r="S46" i="5" s="1"/>
  <c r="S47" i="5" s="1"/>
  <c r="S48" i="5" s="1"/>
  <c r="S49" i="5" s="1"/>
  <c r="S50" i="5" s="1"/>
  <c r="S51" i="5" s="1"/>
  <c r="S52" i="5" s="1"/>
  <c r="S53" i="5" s="1"/>
  <c r="R9" i="5" s="1"/>
  <c r="P7" i="4"/>
  <c r="AF7" i="4" s="1"/>
  <c r="R17" i="4"/>
  <c r="T17" i="4" s="1"/>
  <c r="AF25" i="4"/>
  <c r="N25" i="4"/>
  <c r="P24" i="4"/>
  <c r="R29" i="4"/>
  <c r="T29" i="4" s="1"/>
  <c r="P31" i="4"/>
  <c r="O8" i="4"/>
  <c r="AK8" i="4"/>
  <c r="J25" i="5"/>
  <c r="J26" i="5" s="1"/>
  <c r="J27" i="5" s="1"/>
  <c r="J28" i="5" s="1"/>
  <c r="J29" i="5" s="1"/>
  <c r="J30" i="5" s="1"/>
  <c r="J31" i="5" s="1"/>
  <c r="J32" i="5" s="1"/>
  <c r="J33" i="5" s="1"/>
  <c r="J34" i="5" s="1"/>
  <c r="J35" i="5" s="1"/>
  <c r="J36" i="5" s="1"/>
  <c r="J37" i="5" s="1"/>
  <c r="J38" i="5" s="1"/>
  <c r="J39" i="5" s="1"/>
  <c r="J40" i="5" s="1"/>
  <c r="J41" i="5" s="1"/>
  <c r="J42" i="5" s="1"/>
  <c r="J43" i="5" s="1"/>
  <c r="J44" i="5" s="1"/>
  <c r="I25" i="5"/>
  <c r="I26" i="5" s="1"/>
  <c r="I27" i="5" s="1"/>
  <c r="I28" i="5" s="1"/>
  <c r="I29" i="5" s="1"/>
  <c r="I30" i="5" s="1"/>
  <c r="I31" i="5" s="1"/>
  <c r="I32" i="5" s="1"/>
  <c r="I33" i="5" s="1"/>
  <c r="I34" i="5" s="1"/>
  <c r="I35" i="5" s="1"/>
  <c r="I36" i="5" s="1"/>
  <c r="I37" i="5" s="1"/>
  <c r="I38" i="5" s="1"/>
  <c r="I39" i="5" s="1"/>
  <c r="I40" i="5" s="1"/>
  <c r="I41" i="5" s="1"/>
  <c r="I42" i="5" s="1"/>
  <c r="I43" i="5" s="1"/>
  <c r="I44" i="5" s="1"/>
  <c r="I45" i="5" s="1"/>
  <c r="I46" i="5" s="1"/>
  <c r="I47" i="5" s="1"/>
  <c r="I48" i="5" s="1"/>
  <c r="I49" i="5" s="1"/>
  <c r="I50" i="5" s="1"/>
  <c r="I51" i="5" s="1"/>
  <c r="I52" i="5" s="1"/>
  <c r="I53" i="5" s="1"/>
  <c r="H9" i="5" s="1"/>
  <c r="R12" i="4"/>
  <c r="O19" i="4"/>
  <c r="N14" i="4"/>
  <c r="AF14" i="4"/>
  <c r="R33" i="4"/>
  <c r="T33" i="4" s="1"/>
  <c r="K15" i="4"/>
  <c r="P15" i="4"/>
  <c r="N20" i="4"/>
  <c r="K19" i="4"/>
  <c r="P30" i="4"/>
  <c r="L15" i="4"/>
  <c r="N25" i="5"/>
  <c r="N26" i="5" s="1"/>
  <c r="N27" i="5" s="1"/>
  <c r="N28" i="5" s="1"/>
  <c r="N29" i="5" s="1"/>
  <c r="N30" i="5" s="1"/>
  <c r="N31" i="5" s="1"/>
  <c r="N32" i="5" s="1"/>
  <c r="N33" i="5" s="1"/>
  <c r="N34" i="5" s="1"/>
  <c r="N35" i="5" s="1"/>
  <c r="N36" i="5" s="1"/>
  <c r="N37" i="5" s="1"/>
  <c r="N38" i="5" s="1"/>
  <c r="N39" i="5" s="1"/>
  <c r="N40" i="5" s="1"/>
  <c r="N41" i="5" s="1"/>
  <c r="N42" i="5" s="1"/>
  <c r="N43" i="5" s="1"/>
  <c r="N44" i="5" s="1"/>
  <c r="N45" i="5" s="1"/>
  <c r="N46" i="5" s="1"/>
  <c r="N47" i="5" s="1"/>
  <c r="N48" i="5" s="1"/>
  <c r="N49" i="5" s="1"/>
  <c r="N50" i="5" s="1"/>
  <c r="N51" i="5" s="1"/>
  <c r="N52" i="5" s="1"/>
  <c r="N53" i="5" s="1"/>
  <c r="M9" i="5" s="1"/>
  <c r="K8" i="4"/>
  <c r="P8" i="4"/>
  <c r="N11" i="4"/>
  <c r="R21" i="4"/>
  <c r="T21" i="4" s="1"/>
  <c r="AF12" i="4"/>
  <c r="P10" i="4"/>
  <c r="AF10" i="4" s="1"/>
  <c r="R9" i="4"/>
  <c r="T9" i="4" s="1"/>
  <c r="N18" i="4"/>
  <c r="AF18" i="4"/>
  <c r="P19" i="4"/>
  <c r="K29" i="4"/>
  <c r="P13" i="4"/>
  <c r="K13" i="4"/>
  <c r="L36" i="4"/>
  <c r="N10" i="4"/>
  <c r="Q20" i="4"/>
  <c r="S20" i="4" s="1"/>
  <c r="L20" i="4"/>
  <c r="N9" i="4"/>
  <c r="AF9" i="4"/>
  <c r="AK31" i="4"/>
  <c r="Q19" i="4"/>
  <c r="S19" i="4" s="1"/>
  <c r="J16" i="6" l="1"/>
  <c r="AK30" i="4"/>
  <c r="C16" i="6"/>
  <c r="G16" i="6"/>
  <c r="K21" i="6"/>
  <c r="AF11" i="4"/>
  <c r="H16" i="6"/>
  <c r="T12" i="4"/>
  <c r="I16" i="6"/>
  <c r="R18" i="4"/>
  <c r="T18" i="4" s="1"/>
  <c r="AD8" i="4"/>
  <c r="AA9" i="4" s="1"/>
  <c r="I18" i="6"/>
  <c r="J21" i="6"/>
  <c r="D19" i="6"/>
  <c r="E19" i="6"/>
  <c r="AH7" i="4"/>
  <c r="AG7" i="4"/>
  <c r="AI7" i="4" s="1"/>
  <c r="U25" i="5"/>
  <c r="R26" i="5"/>
  <c r="N17" i="4"/>
  <c r="AF17" i="4"/>
  <c r="M26" i="5"/>
  <c r="P25" i="5"/>
  <c r="R31" i="4"/>
  <c r="T31" i="4" s="1"/>
  <c r="O20" i="4"/>
  <c r="AK20" i="4"/>
  <c r="AK15" i="4"/>
  <c r="O15" i="4"/>
  <c r="R20" i="4"/>
  <c r="T20" i="4" s="1"/>
  <c r="AK34" i="4"/>
  <c r="O34" i="4"/>
  <c r="R10" i="4"/>
  <c r="T10" i="4" s="1"/>
  <c r="R30" i="4"/>
  <c r="T30" i="4" s="1"/>
  <c r="AK19" i="4"/>
  <c r="Z8" i="4"/>
  <c r="V9" i="4" s="1"/>
  <c r="R23" i="4"/>
  <c r="T23" i="4" s="1"/>
  <c r="R36" i="4"/>
  <c r="T36" i="4" s="1"/>
  <c r="N23" i="4"/>
  <c r="AF23" i="4"/>
  <c r="T26" i="5"/>
  <c r="T27" i="5" s="1"/>
  <c r="T28" i="5" s="1"/>
  <c r="T29" i="5" s="1"/>
  <c r="T30" i="5" s="1"/>
  <c r="T31" i="5" s="1"/>
  <c r="T32" i="5" s="1"/>
  <c r="T33" i="5" s="1"/>
  <c r="T34" i="5" s="1"/>
  <c r="T35" i="5" s="1"/>
  <c r="T36" i="5" s="1"/>
  <c r="T37" i="5" s="1"/>
  <c r="T38" i="5" s="1"/>
  <c r="T39" i="5" s="1"/>
  <c r="T40" i="5" s="1"/>
  <c r="T41" i="5" s="1"/>
  <c r="T42" i="5" s="1"/>
  <c r="T43" i="5" s="1"/>
  <c r="T44" i="5" s="1"/>
  <c r="T45" i="5" s="1"/>
  <c r="T46" i="5" s="1"/>
  <c r="T47" i="5" s="1"/>
  <c r="T48" i="5" s="1"/>
  <c r="T49" i="5" s="1"/>
  <c r="T50" i="5" s="1"/>
  <c r="T51" i="5" s="1"/>
  <c r="T52" i="5" s="1"/>
  <c r="T53" i="5" s="1"/>
  <c r="R8" i="5" s="1"/>
  <c r="M11" i="5"/>
  <c r="E9" i="8" s="1"/>
  <c r="O36" i="4"/>
  <c r="AK36" i="4"/>
  <c r="N13" i="4"/>
  <c r="AF13" i="4"/>
  <c r="R26" i="4"/>
  <c r="T26" i="4" s="1"/>
  <c r="O12" i="4"/>
  <c r="AK12" i="4"/>
  <c r="O26" i="5"/>
  <c r="O27" i="5" s="1"/>
  <c r="O28" i="5" s="1"/>
  <c r="O29" i="5" s="1"/>
  <c r="O30" i="5" s="1"/>
  <c r="O31" i="5" s="1"/>
  <c r="O32" i="5" s="1"/>
  <c r="O33" i="5" s="1"/>
  <c r="O34" i="5" s="1"/>
  <c r="O35" i="5" s="1"/>
  <c r="O36" i="5" s="1"/>
  <c r="O37" i="5" s="1"/>
  <c r="O38" i="5" s="1"/>
  <c r="O39" i="5" s="1"/>
  <c r="O40" i="5" s="1"/>
  <c r="O41" i="5" s="1"/>
  <c r="O42" i="5" s="1"/>
  <c r="O43" i="5" s="1"/>
  <c r="O44" i="5" s="1"/>
  <c r="O45" i="5" s="1"/>
  <c r="O46" i="5" s="1"/>
  <c r="O47" i="5" s="1"/>
  <c r="O48" i="5" s="1"/>
  <c r="O49" i="5" s="1"/>
  <c r="O50" i="5" s="1"/>
  <c r="O51" i="5" s="1"/>
  <c r="O52" i="5" s="1"/>
  <c r="O53" i="5" s="1"/>
  <c r="M8" i="5" s="1"/>
  <c r="AK29" i="4"/>
  <c r="O29" i="4"/>
  <c r="AF19" i="4"/>
  <c r="N19" i="4"/>
  <c r="R24" i="4"/>
  <c r="T24" i="4" s="1"/>
  <c r="AK18" i="4"/>
  <c r="O18" i="4"/>
  <c r="R13" i="4"/>
  <c r="T13" i="4"/>
  <c r="AF20" i="4"/>
  <c r="AF26" i="4"/>
  <c r="N26" i="4"/>
  <c r="C11" i="5"/>
  <c r="C9" i="8" s="1"/>
  <c r="AF22" i="4"/>
  <c r="N22" i="4"/>
  <c r="AF34" i="4"/>
  <c r="N34" i="4"/>
  <c r="AF24" i="4"/>
  <c r="R22" i="4"/>
  <c r="T22" i="4" s="1"/>
  <c r="AF30" i="4"/>
  <c r="F25" i="5"/>
  <c r="C26" i="5"/>
  <c r="J45" i="5"/>
  <c r="J46" i="5" s="1"/>
  <c r="J47" i="5" s="1"/>
  <c r="J48" i="5" s="1"/>
  <c r="J49" i="5" s="1"/>
  <c r="J50" i="5" s="1"/>
  <c r="J51" i="5" s="1"/>
  <c r="J52" i="5" s="1"/>
  <c r="J53" i="5" s="1"/>
  <c r="H8" i="5" s="1"/>
  <c r="H11" i="5"/>
  <c r="D9" i="8" s="1"/>
  <c r="O7" i="4"/>
  <c r="AK7" i="4"/>
  <c r="AF36" i="4"/>
  <c r="R15" i="4"/>
  <c r="T15" i="4" s="1"/>
  <c r="R19" i="4"/>
  <c r="T19" i="4" s="1"/>
  <c r="R8" i="4"/>
  <c r="T8" i="4" s="1"/>
  <c r="R7" i="4"/>
  <c r="T7" i="4" s="1"/>
  <c r="D62" i="6"/>
  <c r="D50" i="6"/>
  <c r="D36" i="6"/>
  <c r="D32" i="6"/>
  <c r="D28" i="6"/>
  <c r="D61" i="6"/>
  <c r="D49" i="6"/>
  <c r="J35" i="6"/>
  <c r="J31" i="6"/>
  <c r="C60" i="6"/>
  <c r="C48" i="6"/>
  <c r="F35" i="6"/>
  <c r="F31" i="6"/>
  <c r="C45" i="6"/>
  <c r="F16" i="6"/>
  <c r="H17" i="6"/>
  <c r="J32" i="6"/>
  <c r="K33" i="6"/>
  <c r="C59" i="6"/>
  <c r="C21" i="6"/>
  <c r="K20" i="6"/>
  <c r="C50" i="6"/>
  <c r="H34" i="6"/>
  <c r="F17" i="6"/>
  <c r="D43" i="6"/>
  <c r="D18" i="6"/>
  <c r="D59" i="6"/>
  <c r="E59" i="6" s="1"/>
  <c r="D21" i="6"/>
  <c r="I35" i="6"/>
  <c r="D30" i="6"/>
  <c r="C51" i="6"/>
  <c r="E18" i="6"/>
  <c r="K31" i="6"/>
  <c r="D69" i="6"/>
  <c r="J30" i="6"/>
  <c r="E20" i="6"/>
  <c r="E35" i="6"/>
  <c r="D47" i="6"/>
  <c r="G19" i="6"/>
  <c r="C41" i="6"/>
  <c r="C15" i="6"/>
  <c r="E16" i="6"/>
  <c r="G31" i="6"/>
  <c r="H32" i="6"/>
  <c r="C55" i="6"/>
  <c r="I19" i="6"/>
  <c r="H19" i="6"/>
  <c r="C46" i="6"/>
  <c r="E33" i="6"/>
  <c r="C20" i="6"/>
  <c r="D55" i="6"/>
  <c r="I28" i="6"/>
  <c r="K36" i="6"/>
  <c r="D68" i="6"/>
  <c r="E31" i="6"/>
  <c r="F18" i="6"/>
  <c r="C42" i="6"/>
  <c r="G29" i="6"/>
  <c r="C19" i="6"/>
  <c r="D57" i="6"/>
  <c r="E28" i="6"/>
  <c r="I32" i="6"/>
  <c r="F34" i="6"/>
  <c r="H35" i="6"/>
  <c r="D64" i="6"/>
  <c r="J28" i="6"/>
  <c r="K29" i="6"/>
  <c r="C47" i="6"/>
  <c r="C17" i="6"/>
  <c r="K16" i="6"/>
  <c r="C36" i="6"/>
  <c r="H30" i="6"/>
  <c r="G33" i="6"/>
  <c r="E15" i="6"/>
  <c r="J34" i="6"/>
  <c r="I34" i="6"/>
  <c r="D46" i="6"/>
  <c r="C52" i="6"/>
  <c r="I31" i="6"/>
  <c r="D56" i="6"/>
  <c r="D20" i="6"/>
  <c r="F36" i="6"/>
  <c r="E36" i="6"/>
  <c r="D17" i="6"/>
  <c r="H20" i="6"/>
  <c r="K28" i="6"/>
  <c r="F32" i="6"/>
  <c r="F29" i="6"/>
  <c r="C44" i="6"/>
  <c r="I29" i="6"/>
  <c r="C49" i="6"/>
  <c r="C63" i="6"/>
  <c r="K35" i="6"/>
  <c r="I36" i="6"/>
  <c r="C33" i="6"/>
  <c r="E34" i="6"/>
  <c r="D60" i="6"/>
  <c r="G21" i="6"/>
  <c r="H28" i="6"/>
  <c r="C43" i="6"/>
  <c r="I15" i="6"/>
  <c r="H15" i="6"/>
  <c r="E29" i="6"/>
  <c r="D42" i="6"/>
  <c r="K17" i="6"/>
  <c r="F15" i="6"/>
  <c r="E21" i="6"/>
  <c r="F33" i="6"/>
  <c r="D54" i="6"/>
  <c r="D58" i="6"/>
  <c r="I20" i="6"/>
  <c r="C54" i="6"/>
  <c r="K32" i="6"/>
  <c r="D70" i="6"/>
  <c r="C18" i="6"/>
  <c r="H29" i="6"/>
  <c r="I17" i="6"/>
  <c r="F28" i="6"/>
  <c r="J33" i="6"/>
  <c r="C69" i="6"/>
  <c r="F30" i="6"/>
  <c r="H31" i="6"/>
  <c r="D52" i="6"/>
  <c r="E52" i="6" s="1"/>
  <c r="J18" i="6"/>
  <c r="K19" i="6"/>
  <c r="C35" i="6"/>
  <c r="K34" i="6"/>
  <c r="D66" i="6"/>
  <c r="C32" i="6"/>
  <c r="J19" i="6"/>
  <c r="D67" i="6"/>
  <c r="C30" i="6"/>
  <c r="J20" i="6"/>
  <c r="J15" i="6"/>
  <c r="G17" i="6"/>
  <c r="G18" i="6"/>
  <c r="G32" i="6"/>
  <c r="I21" i="6"/>
  <c r="D44" i="6"/>
  <c r="E17" i="6"/>
  <c r="C66" i="6"/>
  <c r="J17" i="6"/>
  <c r="F21" i="6"/>
  <c r="C67" i="6"/>
  <c r="D63" i="6"/>
  <c r="D34" i="6"/>
  <c r="G28" i="6"/>
  <c r="C65" i="6"/>
  <c r="C29" i="6"/>
  <c r="E30" i="6"/>
  <c r="D48" i="6"/>
  <c r="H18" i="6"/>
  <c r="I33" i="6"/>
  <c r="H33" i="6"/>
  <c r="C70" i="6"/>
  <c r="I30" i="6"/>
  <c r="D29" i="6"/>
  <c r="D15" i="6"/>
  <c r="C34" i="6"/>
  <c r="G30" i="6"/>
  <c r="C61" i="6"/>
  <c r="D16" i="6"/>
  <c r="E32" i="6"/>
  <c r="D33" i="6"/>
  <c r="G34" i="6"/>
  <c r="H36" i="6"/>
  <c r="G15" i="6"/>
  <c r="G36" i="6"/>
  <c r="C57" i="6"/>
  <c r="F20" i="6"/>
  <c r="H21" i="6"/>
  <c r="J36" i="6"/>
  <c r="C68" i="6"/>
  <c r="K15" i="6"/>
  <c r="C31" i="6"/>
  <c r="K30" i="6"/>
  <c r="C62" i="6"/>
  <c r="C28" i="6"/>
  <c r="D41" i="6"/>
  <c r="E41" i="6" s="1"/>
  <c r="G20" i="6"/>
  <c r="C56" i="6"/>
  <c r="D45" i="6"/>
  <c r="E45" i="6" s="1"/>
  <c r="D31" i="6"/>
  <c r="C64" i="6"/>
  <c r="C53" i="6"/>
  <c r="G35" i="6"/>
  <c r="C58" i="6"/>
  <c r="J29" i="6"/>
  <c r="D35" i="6"/>
  <c r="K18" i="6"/>
  <c r="D65" i="6"/>
  <c r="E65" i="6" s="1"/>
  <c r="D51" i="6"/>
  <c r="E51" i="6" s="1"/>
  <c r="D53" i="6"/>
  <c r="AF31" i="4"/>
  <c r="H26" i="5"/>
  <c r="K25" i="5"/>
  <c r="N35" i="4"/>
  <c r="AF35" i="4"/>
  <c r="AF29" i="4"/>
  <c r="N29" i="4"/>
  <c r="AF15" i="4"/>
  <c r="N15" i="4"/>
  <c r="AF8" i="4"/>
  <c r="N8" i="4"/>
  <c r="R11" i="5"/>
  <c r="F9" i="8" s="1"/>
  <c r="C6" i="7"/>
  <c r="E63" i="6" l="1"/>
  <c r="E69" i="6"/>
  <c r="E48" i="6"/>
  <c r="E46" i="6"/>
  <c r="E64" i="6"/>
  <c r="E55" i="6"/>
  <c r="E47" i="6"/>
  <c r="AE8" i="4"/>
  <c r="H27" i="5"/>
  <c r="K26" i="5"/>
  <c r="E58" i="6"/>
  <c r="E50" i="6"/>
  <c r="AL7" i="4"/>
  <c r="AN7" i="4" s="1"/>
  <c r="AM7" i="4"/>
  <c r="E53" i="6"/>
  <c r="E54" i="6"/>
  <c r="E60" i="6"/>
  <c r="E43" i="6"/>
  <c r="E62" i="6"/>
  <c r="P26" i="5"/>
  <c r="M27" i="5"/>
  <c r="D18" i="7"/>
  <c r="E18" i="7" s="1"/>
  <c r="F18" i="7" s="1"/>
  <c r="G18" i="7" s="1"/>
  <c r="H18" i="7" s="1"/>
  <c r="I18" i="7" s="1"/>
  <c r="J18" i="7" s="1"/>
  <c r="K18" i="7" s="1"/>
  <c r="L18" i="7" s="1"/>
  <c r="M18" i="7" s="1"/>
  <c r="N18" i="7" s="1"/>
  <c r="O18" i="7" s="1"/>
  <c r="P18" i="7" s="1"/>
  <c r="Q18" i="7" s="1"/>
  <c r="R18" i="7" s="1"/>
  <c r="S18" i="7" s="1"/>
  <c r="T18" i="7" s="1"/>
  <c r="U18" i="7" s="1"/>
  <c r="V18" i="7" s="1"/>
  <c r="W18" i="7" s="1"/>
  <c r="X18" i="7" s="1"/>
  <c r="Y18" i="7" s="1"/>
  <c r="Z18" i="7" s="1"/>
  <c r="AA18" i="7" s="1"/>
  <c r="AB18" i="7" s="1"/>
  <c r="AC18" i="7" s="1"/>
  <c r="AD18" i="7" s="1"/>
  <c r="AE18" i="7" s="1"/>
  <c r="AF18" i="7" s="1"/>
  <c r="AG18" i="7" s="1"/>
  <c r="AH18" i="7" s="1"/>
  <c r="D21" i="7"/>
  <c r="E21" i="7" s="1"/>
  <c r="F21" i="7" s="1"/>
  <c r="G21" i="7" s="1"/>
  <c r="H21" i="7" s="1"/>
  <c r="I21" i="7" s="1"/>
  <c r="J21" i="7" s="1"/>
  <c r="K21" i="7" s="1"/>
  <c r="L21" i="7" s="1"/>
  <c r="M21" i="7" s="1"/>
  <c r="N21" i="7" s="1"/>
  <c r="O21" i="7" s="1"/>
  <c r="P21" i="7" s="1"/>
  <c r="Q21" i="7" s="1"/>
  <c r="R21" i="7" s="1"/>
  <c r="S21" i="7" s="1"/>
  <c r="T21" i="7" s="1"/>
  <c r="U21" i="7" s="1"/>
  <c r="V21" i="7" s="1"/>
  <c r="W21" i="7" s="1"/>
  <c r="X21" i="7" s="1"/>
  <c r="Y21" i="7" s="1"/>
  <c r="Z21" i="7" s="1"/>
  <c r="AA21" i="7" s="1"/>
  <c r="AB21" i="7" s="1"/>
  <c r="AC21" i="7" s="1"/>
  <c r="AD21" i="7" s="1"/>
  <c r="AE21" i="7" s="1"/>
  <c r="AF21" i="7" s="1"/>
  <c r="AG21" i="7" s="1"/>
  <c r="AH21" i="7" s="1"/>
  <c r="D35" i="7"/>
  <c r="E35" i="7" s="1"/>
  <c r="F35" i="7" s="1"/>
  <c r="G35" i="7" s="1"/>
  <c r="H35" i="7" s="1"/>
  <c r="I35" i="7" s="1"/>
  <c r="J35" i="7" s="1"/>
  <c r="K35" i="7" s="1"/>
  <c r="L35" i="7" s="1"/>
  <c r="M35" i="7" s="1"/>
  <c r="N35" i="7" s="1"/>
  <c r="O35" i="7" s="1"/>
  <c r="P35" i="7" s="1"/>
  <c r="Q35" i="7" s="1"/>
  <c r="R35" i="7" s="1"/>
  <c r="S35" i="7" s="1"/>
  <c r="T35" i="7" s="1"/>
  <c r="U35" i="7" s="1"/>
  <c r="V35" i="7" s="1"/>
  <c r="W35" i="7" s="1"/>
  <c r="X35" i="7" s="1"/>
  <c r="Y35" i="7" s="1"/>
  <c r="Z35" i="7" s="1"/>
  <c r="AA35" i="7" s="1"/>
  <c r="AB35" i="7" s="1"/>
  <c r="AC35" i="7" s="1"/>
  <c r="AD35" i="7" s="1"/>
  <c r="AE35" i="7" s="1"/>
  <c r="AF35" i="7" s="1"/>
  <c r="AG35" i="7" s="1"/>
  <c r="AH35" i="7" s="1"/>
  <c r="D204" i="7"/>
  <c r="E204" i="7" s="1"/>
  <c r="F204" i="7" s="1"/>
  <c r="G204" i="7" s="1"/>
  <c r="H204" i="7" s="1"/>
  <c r="I204" i="7" s="1"/>
  <c r="J204" i="7" s="1"/>
  <c r="K204" i="7" s="1"/>
  <c r="L204" i="7" s="1"/>
  <c r="M204" i="7" s="1"/>
  <c r="N204" i="7" s="1"/>
  <c r="O204" i="7" s="1"/>
  <c r="P204" i="7" s="1"/>
  <c r="Q204" i="7" s="1"/>
  <c r="R204" i="7" s="1"/>
  <c r="S204" i="7" s="1"/>
  <c r="T204" i="7" s="1"/>
  <c r="U204" i="7" s="1"/>
  <c r="V204" i="7" s="1"/>
  <c r="W204" i="7" s="1"/>
  <c r="X204" i="7" s="1"/>
  <c r="Y204" i="7" s="1"/>
  <c r="Z204" i="7" s="1"/>
  <c r="AA204" i="7" s="1"/>
  <c r="AB204" i="7" s="1"/>
  <c r="AC204" i="7" s="1"/>
  <c r="AD204" i="7" s="1"/>
  <c r="AE204" i="7" s="1"/>
  <c r="AF204" i="7" s="1"/>
  <c r="AG204" i="7" s="1"/>
  <c r="AH204" i="7" s="1"/>
  <c r="D213" i="7"/>
  <c r="E213" i="7" s="1"/>
  <c r="F213" i="7" s="1"/>
  <c r="G213" i="7" s="1"/>
  <c r="H213" i="7" s="1"/>
  <c r="I213" i="7" s="1"/>
  <c r="J213" i="7" s="1"/>
  <c r="K213" i="7" s="1"/>
  <c r="L213" i="7" s="1"/>
  <c r="M213" i="7" s="1"/>
  <c r="N213" i="7" s="1"/>
  <c r="O213" i="7" s="1"/>
  <c r="P213" i="7" s="1"/>
  <c r="Q213" i="7" s="1"/>
  <c r="R213" i="7" s="1"/>
  <c r="S213" i="7" s="1"/>
  <c r="T213" i="7" s="1"/>
  <c r="U213" i="7" s="1"/>
  <c r="V213" i="7" s="1"/>
  <c r="W213" i="7" s="1"/>
  <c r="X213" i="7" s="1"/>
  <c r="Y213" i="7" s="1"/>
  <c r="Z213" i="7" s="1"/>
  <c r="AA213" i="7" s="1"/>
  <c r="AB213" i="7" s="1"/>
  <c r="AC213" i="7" s="1"/>
  <c r="AD213" i="7" s="1"/>
  <c r="AE213" i="7" s="1"/>
  <c r="AF213" i="7" s="1"/>
  <c r="AG213" i="7" s="1"/>
  <c r="AH213" i="7" s="1"/>
  <c r="D176" i="7"/>
  <c r="E176" i="7" s="1"/>
  <c r="F176" i="7" s="1"/>
  <c r="G176" i="7" s="1"/>
  <c r="H176" i="7" s="1"/>
  <c r="I176" i="7" s="1"/>
  <c r="J176" i="7" s="1"/>
  <c r="K176" i="7" s="1"/>
  <c r="L176" i="7" s="1"/>
  <c r="M176" i="7" s="1"/>
  <c r="N176" i="7" s="1"/>
  <c r="O176" i="7" s="1"/>
  <c r="P176" i="7" s="1"/>
  <c r="Q176" i="7" s="1"/>
  <c r="R176" i="7" s="1"/>
  <c r="S176" i="7" s="1"/>
  <c r="T176" i="7" s="1"/>
  <c r="U176" i="7" s="1"/>
  <c r="V176" i="7" s="1"/>
  <c r="W176" i="7" s="1"/>
  <c r="X176" i="7" s="1"/>
  <c r="Y176" i="7" s="1"/>
  <c r="Z176" i="7" s="1"/>
  <c r="AA176" i="7" s="1"/>
  <c r="AB176" i="7" s="1"/>
  <c r="AC176" i="7" s="1"/>
  <c r="AD176" i="7" s="1"/>
  <c r="AE176" i="7" s="1"/>
  <c r="AF176" i="7" s="1"/>
  <c r="AG176" i="7" s="1"/>
  <c r="AH176" i="7" s="1"/>
  <c r="D189" i="7"/>
  <c r="E189" i="7" s="1"/>
  <c r="F189" i="7" s="1"/>
  <c r="G189" i="7" s="1"/>
  <c r="H189" i="7" s="1"/>
  <c r="I189" i="7" s="1"/>
  <c r="J189" i="7" s="1"/>
  <c r="K189" i="7" s="1"/>
  <c r="L189" i="7" s="1"/>
  <c r="M189" i="7" s="1"/>
  <c r="N189" i="7" s="1"/>
  <c r="O189" i="7" s="1"/>
  <c r="P189" i="7" s="1"/>
  <c r="Q189" i="7" s="1"/>
  <c r="R189" i="7" s="1"/>
  <c r="S189" i="7" s="1"/>
  <c r="T189" i="7" s="1"/>
  <c r="U189" i="7" s="1"/>
  <c r="V189" i="7" s="1"/>
  <c r="W189" i="7" s="1"/>
  <c r="X189" i="7" s="1"/>
  <c r="Y189" i="7" s="1"/>
  <c r="Z189" i="7" s="1"/>
  <c r="AA189" i="7" s="1"/>
  <c r="AB189" i="7" s="1"/>
  <c r="AC189" i="7" s="1"/>
  <c r="AD189" i="7" s="1"/>
  <c r="AE189" i="7" s="1"/>
  <c r="AF189" i="7" s="1"/>
  <c r="AG189" i="7" s="1"/>
  <c r="AH189" i="7" s="1"/>
  <c r="D169" i="7"/>
  <c r="E169" i="7" s="1"/>
  <c r="F169" i="7" s="1"/>
  <c r="G169" i="7" s="1"/>
  <c r="H169" i="7" s="1"/>
  <c r="I169" i="7" s="1"/>
  <c r="J169" i="7" s="1"/>
  <c r="K169" i="7" s="1"/>
  <c r="L169" i="7" s="1"/>
  <c r="M169" i="7" s="1"/>
  <c r="N169" i="7" s="1"/>
  <c r="O169" i="7" s="1"/>
  <c r="P169" i="7" s="1"/>
  <c r="Q169" i="7" s="1"/>
  <c r="R169" i="7" s="1"/>
  <c r="S169" i="7" s="1"/>
  <c r="T169" i="7" s="1"/>
  <c r="U169" i="7" s="1"/>
  <c r="V169" i="7" s="1"/>
  <c r="W169" i="7" s="1"/>
  <c r="X169" i="7" s="1"/>
  <c r="Y169" i="7" s="1"/>
  <c r="Z169" i="7" s="1"/>
  <c r="AA169" i="7" s="1"/>
  <c r="AB169" i="7" s="1"/>
  <c r="AC169" i="7" s="1"/>
  <c r="AD169" i="7" s="1"/>
  <c r="AE169" i="7" s="1"/>
  <c r="AF169" i="7" s="1"/>
  <c r="AG169" i="7" s="1"/>
  <c r="AH169" i="7" s="1"/>
  <c r="D150" i="7"/>
  <c r="E150" i="7" s="1"/>
  <c r="F150" i="7" s="1"/>
  <c r="G150" i="7" s="1"/>
  <c r="H150" i="7" s="1"/>
  <c r="I150" i="7" s="1"/>
  <c r="J150" i="7" s="1"/>
  <c r="K150" i="7" s="1"/>
  <c r="L150" i="7" s="1"/>
  <c r="M150" i="7" s="1"/>
  <c r="N150" i="7" s="1"/>
  <c r="O150" i="7" s="1"/>
  <c r="P150" i="7" s="1"/>
  <c r="Q150" i="7" s="1"/>
  <c r="R150" i="7" s="1"/>
  <c r="S150" i="7" s="1"/>
  <c r="T150" i="7" s="1"/>
  <c r="U150" i="7" s="1"/>
  <c r="V150" i="7" s="1"/>
  <c r="W150" i="7" s="1"/>
  <c r="X150" i="7" s="1"/>
  <c r="Y150" i="7" s="1"/>
  <c r="Z150" i="7" s="1"/>
  <c r="AA150" i="7" s="1"/>
  <c r="AB150" i="7" s="1"/>
  <c r="AC150" i="7" s="1"/>
  <c r="AD150" i="7" s="1"/>
  <c r="AE150" i="7" s="1"/>
  <c r="AF150" i="7" s="1"/>
  <c r="AG150" i="7" s="1"/>
  <c r="AH150" i="7" s="1"/>
  <c r="D136" i="7"/>
  <c r="E136" i="7" s="1"/>
  <c r="F136" i="7" s="1"/>
  <c r="G136" i="7" s="1"/>
  <c r="H136" i="7" s="1"/>
  <c r="I136" i="7" s="1"/>
  <c r="J136" i="7" s="1"/>
  <c r="K136" i="7" s="1"/>
  <c r="L136" i="7" s="1"/>
  <c r="M136" i="7" s="1"/>
  <c r="N136" i="7" s="1"/>
  <c r="O136" i="7" s="1"/>
  <c r="P136" i="7" s="1"/>
  <c r="Q136" i="7" s="1"/>
  <c r="R136" i="7" s="1"/>
  <c r="S136" i="7" s="1"/>
  <c r="T136" i="7" s="1"/>
  <c r="U136" i="7" s="1"/>
  <c r="V136" i="7" s="1"/>
  <c r="W136" i="7" s="1"/>
  <c r="X136" i="7" s="1"/>
  <c r="Y136" i="7" s="1"/>
  <c r="Z136" i="7" s="1"/>
  <c r="AA136" i="7" s="1"/>
  <c r="AB136" i="7" s="1"/>
  <c r="AC136" i="7" s="1"/>
  <c r="AD136" i="7" s="1"/>
  <c r="AE136" i="7" s="1"/>
  <c r="AF136" i="7" s="1"/>
  <c r="AG136" i="7" s="1"/>
  <c r="AH136" i="7" s="1"/>
  <c r="D121" i="7"/>
  <c r="E121" i="7" s="1"/>
  <c r="F121" i="7" s="1"/>
  <c r="G121" i="7" s="1"/>
  <c r="H121" i="7" s="1"/>
  <c r="I121" i="7" s="1"/>
  <c r="J121" i="7" s="1"/>
  <c r="K121" i="7" s="1"/>
  <c r="L121" i="7" s="1"/>
  <c r="M121" i="7" s="1"/>
  <c r="N121" i="7" s="1"/>
  <c r="O121" i="7" s="1"/>
  <c r="P121" i="7" s="1"/>
  <c r="Q121" i="7" s="1"/>
  <c r="R121" i="7" s="1"/>
  <c r="S121" i="7" s="1"/>
  <c r="T121" i="7" s="1"/>
  <c r="U121" i="7" s="1"/>
  <c r="V121" i="7" s="1"/>
  <c r="W121" i="7" s="1"/>
  <c r="X121" i="7" s="1"/>
  <c r="Y121" i="7" s="1"/>
  <c r="Z121" i="7" s="1"/>
  <c r="AA121" i="7" s="1"/>
  <c r="AB121" i="7" s="1"/>
  <c r="AC121" i="7" s="1"/>
  <c r="AD121" i="7" s="1"/>
  <c r="AE121" i="7" s="1"/>
  <c r="AF121" i="7" s="1"/>
  <c r="AG121" i="7" s="1"/>
  <c r="AH121" i="7" s="1"/>
  <c r="D117" i="7"/>
  <c r="E117" i="7" s="1"/>
  <c r="F117" i="7" s="1"/>
  <c r="G117" i="7" s="1"/>
  <c r="H117" i="7" s="1"/>
  <c r="I117" i="7" s="1"/>
  <c r="J117" i="7" s="1"/>
  <c r="K117" i="7" s="1"/>
  <c r="L117" i="7" s="1"/>
  <c r="M117" i="7" s="1"/>
  <c r="N117" i="7" s="1"/>
  <c r="O117" i="7" s="1"/>
  <c r="P117" i="7" s="1"/>
  <c r="Q117" i="7" s="1"/>
  <c r="R117" i="7" s="1"/>
  <c r="S117" i="7" s="1"/>
  <c r="T117" i="7" s="1"/>
  <c r="U117" i="7" s="1"/>
  <c r="V117" i="7" s="1"/>
  <c r="W117" i="7" s="1"/>
  <c r="X117" i="7" s="1"/>
  <c r="Y117" i="7" s="1"/>
  <c r="Z117" i="7" s="1"/>
  <c r="AA117" i="7" s="1"/>
  <c r="AB117" i="7" s="1"/>
  <c r="AC117" i="7" s="1"/>
  <c r="AD117" i="7" s="1"/>
  <c r="AE117" i="7" s="1"/>
  <c r="AF117" i="7" s="1"/>
  <c r="AG117" i="7" s="1"/>
  <c r="AH117" i="7" s="1"/>
  <c r="D106" i="7"/>
  <c r="E106" i="7" s="1"/>
  <c r="F106" i="7" s="1"/>
  <c r="G106" i="7" s="1"/>
  <c r="H106" i="7" s="1"/>
  <c r="I106" i="7" s="1"/>
  <c r="J106" i="7" s="1"/>
  <c r="K106" i="7" s="1"/>
  <c r="L106" i="7" s="1"/>
  <c r="M106" i="7" s="1"/>
  <c r="N106" i="7" s="1"/>
  <c r="O106" i="7" s="1"/>
  <c r="P106" i="7" s="1"/>
  <c r="Q106" i="7" s="1"/>
  <c r="R106" i="7" s="1"/>
  <c r="S106" i="7" s="1"/>
  <c r="T106" i="7" s="1"/>
  <c r="U106" i="7" s="1"/>
  <c r="V106" i="7" s="1"/>
  <c r="W106" i="7" s="1"/>
  <c r="X106" i="7" s="1"/>
  <c r="Y106" i="7" s="1"/>
  <c r="Z106" i="7" s="1"/>
  <c r="AA106" i="7" s="1"/>
  <c r="AB106" i="7" s="1"/>
  <c r="AC106" i="7" s="1"/>
  <c r="AD106" i="7" s="1"/>
  <c r="AE106" i="7" s="1"/>
  <c r="AF106" i="7" s="1"/>
  <c r="AG106" i="7" s="1"/>
  <c r="AH106" i="7" s="1"/>
  <c r="D88" i="7"/>
  <c r="E88" i="7" s="1"/>
  <c r="F88" i="7" s="1"/>
  <c r="G88" i="7" s="1"/>
  <c r="H88" i="7" s="1"/>
  <c r="I88" i="7" s="1"/>
  <c r="J88" i="7" s="1"/>
  <c r="K88" i="7" s="1"/>
  <c r="L88" i="7" s="1"/>
  <c r="M88" i="7" s="1"/>
  <c r="N88" i="7" s="1"/>
  <c r="O88" i="7" s="1"/>
  <c r="P88" i="7" s="1"/>
  <c r="Q88" i="7" s="1"/>
  <c r="R88" i="7" s="1"/>
  <c r="S88" i="7" s="1"/>
  <c r="T88" i="7" s="1"/>
  <c r="U88" i="7" s="1"/>
  <c r="V88" i="7" s="1"/>
  <c r="W88" i="7" s="1"/>
  <c r="X88" i="7" s="1"/>
  <c r="Y88" i="7" s="1"/>
  <c r="Z88" i="7" s="1"/>
  <c r="AA88" i="7" s="1"/>
  <c r="AB88" i="7" s="1"/>
  <c r="AC88" i="7" s="1"/>
  <c r="AD88" i="7" s="1"/>
  <c r="AE88" i="7" s="1"/>
  <c r="AF88" i="7" s="1"/>
  <c r="AG88" i="7" s="1"/>
  <c r="AH88" i="7" s="1"/>
  <c r="D101" i="7"/>
  <c r="E101" i="7" s="1"/>
  <c r="F101" i="7" s="1"/>
  <c r="G101" i="7" s="1"/>
  <c r="H101" i="7" s="1"/>
  <c r="I101" i="7" s="1"/>
  <c r="J101" i="7" s="1"/>
  <c r="K101" i="7" s="1"/>
  <c r="L101" i="7" s="1"/>
  <c r="M101" i="7" s="1"/>
  <c r="N101" i="7" s="1"/>
  <c r="O101" i="7" s="1"/>
  <c r="P101" i="7" s="1"/>
  <c r="Q101" i="7" s="1"/>
  <c r="R101" i="7" s="1"/>
  <c r="S101" i="7" s="1"/>
  <c r="T101" i="7" s="1"/>
  <c r="U101" i="7" s="1"/>
  <c r="V101" i="7" s="1"/>
  <c r="W101" i="7" s="1"/>
  <c r="X101" i="7" s="1"/>
  <c r="Y101" i="7" s="1"/>
  <c r="Z101" i="7" s="1"/>
  <c r="AA101" i="7" s="1"/>
  <c r="AB101" i="7" s="1"/>
  <c r="AC101" i="7" s="1"/>
  <c r="AD101" i="7" s="1"/>
  <c r="AE101" i="7" s="1"/>
  <c r="AF101" i="7" s="1"/>
  <c r="AG101" i="7" s="1"/>
  <c r="AH101" i="7" s="1"/>
  <c r="D46" i="7"/>
  <c r="E46" i="7" s="1"/>
  <c r="F46" i="7" s="1"/>
  <c r="G46" i="7" s="1"/>
  <c r="H46" i="7" s="1"/>
  <c r="I46" i="7" s="1"/>
  <c r="J46" i="7" s="1"/>
  <c r="K46" i="7" s="1"/>
  <c r="L46" i="7" s="1"/>
  <c r="M46" i="7" s="1"/>
  <c r="N46" i="7" s="1"/>
  <c r="O46" i="7" s="1"/>
  <c r="P46" i="7" s="1"/>
  <c r="Q46" i="7" s="1"/>
  <c r="R46" i="7" s="1"/>
  <c r="S46" i="7" s="1"/>
  <c r="T46" i="7" s="1"/>
  <c r="U46" i="7" s="1"/>
  <c r="V46" i="7" s="1"/>
  <c r="W46" i="7" s="1"/>
  <c r="X46" i="7" s="1"/>
  <c r="Y46" i="7" s="1"/>
  <c r="Z46" i="7" s="1"/>
  <c r="AA46" i="7" s="1"/>
  <c r="AB46" i="7" s="1"/>
  <c r="AC46" i="7" s="1"/>
  <c r="AD46" i="7" s="1"/>
  <c r="AE46" i="7" s="1"/>
  <c r="AF46" i="7" s="1"/>
  <c r="AG46" i="7" s="1"/>
  <c r="AH46" i="7" s="1"/>
  <c r="D118" i="7"/>
  <c r="E118" i="7" s="1"/>
  <c r="F118" i="7" s="1"/>
  <c r="G118" i="7" s="1"/>
  <c r="H118" i="7" s="1"/>
  <c r="I118" i="7" s="1"/>
  <c r="J118" i="7" s="1"/>
  <c r="K118" i="7" s="1"/>
  <c r="L118" i="7" s="1"/>
  <c r="M118" i="7" s="1"/>
  <c r="N118" i="7" s="1"/>
  <c r="O118" i="7" s="1"/>
  <c r="P118" i="7" s="1"/>
  <c r="Q118" i="7" s="1"/>
  <c r="R118" i="7" s="1"/>
  <c r="S118" i="7" s="1"/>
  <c r="T118" i="7" s="1"/>
  <c r="U118" i="7" s="1"/>
  <c r="V118" i="7" s="1"/>
  <c r="W118" i="7" s="1"/>
  <c r="X118" i="7" s="1"/>
  <c r="Y118" i="7" s="1"/>
  <c r="Z118" i="7" s="1"/>
  <c r="AA118" i="7" s="1"/>
  <c r="AB118" i="7" s="1"/>
  <c r="AC118" i="7" s="1"/>
  <c r="AD118" i="7" s="1"/>
  <c r="AE118" i="7" s="1"/>
  <c r="AF118" i="7" s="1"/>
  <c r="AG118" i="7" s="1"/>
  <c r="AH118" i="7" s="1"/>
  <c r="D75" i="7"/>
  <c r="E75" i="7" s="1"/>
  <c r="F75" i="7" s="1"/>
  <c r="G75" i="7" s="1"/>
  <c r="H75" i="7" s="1"/>
  <c r="I75" i="7" s="1"/>
  <c r="J75" i="7" s="1"/>
  <c r="K75" i="7" s="1"/>
  <c r="L75" i="7" s="1"/>
  <c r="M75" i="7" s="1"/>
  <c r="N75" i="7" s="1"/>
  <c r="O75" i="7" s="1"/>
  <c r="P75" i="7" s="1"/>
  <c r="Q75" i="7" s="1"/>
  <c r="R75" i="7" s="1"/>
  <c r="S75" i="7" s="1"/>
  <c r="T75" i="7" s="1"/>
  <c r="U75" i="7" s="1"/>
  <c r="V75" i="7" s="1"/>
  <c r="W75" i="7" s="1"/>
  <c r="X75" i="7" s="1"/>
  <c r="Y75" i="7" s="1"/>
  <c r="Z75" i="7" s="1"/>
  <c r="AA75" i="7" s="1"/>
  <c r="AB75" i="7" s="1"/>
  <c r="AC75" i="7" s="1"/>
  <c r="AD75" i="7" s="1"/>
  <c r="AE75" i="7" s="1"/>
  <c r="AF75" i="7" s="1"/>
  <c r="AG75" i="7" s="1"/>
  <c r="AH75" i="7" s="1"/>
  <c r="D24" i="7"/>
  <c r="E24" i="7" s="1"/>
  <c r="F24" i="7" s="1"/>
  <c r="G24" i="7" s="1"/>
  <c r="H24" i="7" s="1"/>
  <c r="I24" i="7" s="1"/>
  <c r="J24" i="7" s="1"/>
  <c r="K24" i="7" s="1"/>
  <c r="L24" i="7" s="1"/>
  <c r="M24" i="7" s="1"/>
  <c r="N24" i="7" s="1"/>
  <c r="O24" i="7" s="1"/>
  <c r="P24" i="7" s="1"/>
  <c r="Q24" i="7" s="1"/>
  <c r="R24" i="7" s="1"/>
  <c r="S24" i="7" s="1"/>
  <c r="T24" i="7" s="1"/>
  <c r="U24" i="7" s="1"/>
  <c r="V24" i="7" s="1"/>
  <c r="W24" i="7" s="1"/>
  <c r="X24" i="7" s="1"/>
  <c r="Y24" i="7" s="1"/>
  <c r="Z24" i="7" s="1"/>
  <c r="AA24" i="7" s="1"/>
  <c r="AB24" i="7" s="1"/>
  <c r="AC24" i="7" s="1"/>
  <c r="AD24" i="7" s="1"/>
  <c r="AE24" i="7" s="1"/>
  <c r="AF24" i="7" s="1"/>
  <c r="AG24" i="7" s="1"/>
  <c r="AH24" i="7" s="1"/>
  <c r="D214" i="7"/>
  <c r="E214" i="7" s="1"/>
  <c r="F214" i="7" s="1"/>
  <c r="G214" i="7" s="1"/>
  <c r="H214" i="7" s="1"/>
  <c r="I214" i="7" s="1"/>
  <c r="J214" i="7" s="1"/>
  <c r="K214" i="7" s="1"/>
  <c r="L214" i="7" s="1"/>
  <c r="M214" i="7" s="1"/>
  <c r="N214" i="7" s="1"/>
  <c r="O214" i="7" s="1"/>
  <c r="P214" i="7" s="1"/>
  <c r="Q214" i="7" s="1"/>
  <c r="R214" i="7" s="1"/>
  <c r="S214" i="7" s="1"/>
  <c r="T214" i="7" s="1"/>
  <c r="U214" i="7" s="1"/>
  <c r="V214" i="7" s="1"/>
  <c r="W214" i="7" s="1"/>
  <c r="X214" i="7" s="1"/>
  <c r="Y214" i="7" s="1"/>
  <c r="Z214" i="7" s="1"/>
  <c r="AA214" i="7" s="1"/>
  <c r="AB214" i="7" s="1"/>
  <c r="AC214" i="7" s="1"/>
  <c r="AD214" i="7" s="1"/>
  <c r="AE214" i="7" s="1"/>
  <c r="AF214" i="7" s="1"/>
  <c r="AG214" i="7" s="1"/>
  <c r="AH214" i="7" s="1"/>
  <c r="D173" i="7"/>
  <c r="E173" i="7" s="1"/>
  <c r="F173" i="7" s="1"/>
  <c r="G173" i="7" s="1"/>
  <c r="H173" i="7" s="1"/>
  <c r="I173" i="7" s="1"/>
  <c r="J173" i="7" s="1"/>
  <c r="K173" i="7" s="1"/>
  <c r="L173" i="7" s="1"/>
  <c r="M173" i="7" s="1"/>
  <c r="N173" i="7" s="1"/>
  <c r="O173" i="7" s="1"/>
  <c r="P173" i="7" s="1"/>
  <c r="Q173" i="7" s="1"/>
  <c r="R173" i="7" s="1"/>
  <c r="S173" i="7" s="1"/>
  <c r="T173" i="7" s="1"/>
  <c r="U173" i="7" s="1"/>
  <c r="V173" i="7" s="1"/>
  <c r="W173" i="7" s="1"/>
  <c r="X173" i="7" s="1"/>
  <c r="Y173" i="7" s="1"/>
  <c r="Z173" i="7" s="1"/>
  <c r="AA173" i="7" s="1"/>
  <c r="AB173" i="7" s="1"/>
  <c r="AC173" i="7" s="1"/>
  <c r="AD173" i="7" s="1"/>
  <c r="AE173" i="7" s="1"/>
  <c r="AF173" i="7" s="1"/>
  <c r="AG173" i="7" s="1"/>
  <c r="AH173" i="7" s="1"/>
  <c r="D140" i="7"/>
  <c r="E140" i="7" s="1"/>
  <c r="F140" i="7" s="1"/>
  <c r="G140" i="7" s="1"/>
  <c r="H140" i="7" s="1"/>
  <c r="I140" i="7" s="1"/>
  <c r="J140" i="7" s="1"/>
  <c r="K140" i="7" s="1"/>
  <c r="L140" i="7" s="1"/>
  <c r="M140" i="7" s="1"/>
  <c r="N140" i="7" s="1"/>
  <c r="O140" i="7" s="1"/>
  <c r="P140" i="7" s="1"/>
  <c r="Q140" i="7" s="1"/>
  <c r="R140" i="7" s="1"/>
  <c r="S140" i="7" s="1"/>
  <c r="T140" i="7" s="1"/>
  <c r="U140" i="7" s="1"/>
  <c r="V140" i="7" s="1"/>
  <c r="W140" i="7" s="1"/>
  <c r="X140" i="7" s="1"/>
  <c r="Y140" i="7" s="1"/>
  <c r="Z140" i="7" s="1"/>
  <c r="AA140" i="7" s="1"/>
  <c r="AB140" i="7" s="1"/>
  <c r="AC140" i="7" s="1"/>
  <c r="AD140" i="7" s="1"/>
  <c r="AE140" i="7" s="1"/>
  <c r="AF140" i="7" s="1"/>
  <c r="AG140" i="7" s="1"/>
  <c r="AH140" i="7" s="1"/>
  <c r="D124" i="7"/>
  <c r="E124" i="7" s="1"/>
  <c r="F124" i="7" s="1"/>
  <c r="G124" i="7" s="1"/>
  <c r="H124" i="7" s="1"/>
  <c r="I124" i="7" s="1"/>
  <c r="J124" i="7" s="1"/>
  <c r="K124" i="7" s="1"/>
  <c r="L124" i="7" s="1"/>
  <c r="M124" i="7" s="1"/>
  <c r="N124" i="7" s="1"/>
  <c r="O124" i="7" s="1"/>
  <c r="P124" i="7" s="1"/>
  <c r="Q124" i="7" s="1"/>
  <c r="R124" i="7" s="1"/>
  <c r="S124" i="7" s="1"/>
  <c r="T124" i="7" s="1"/>
  <c r="U124" i="7" s="1"/>
  <c r="V124" i="7" s="1"/>
  <c r="W124" i="7" s="1"/>
  <c r="X124" i="7" s="1"/>
  <c r="Y124" i="7" s="1"/>
  <c r="Z124" i="7" s="1"/>
  <c r="AA124" i="7" s="1"/>
  <c r="AB124" i="7" s="1"/>
  <c r="AC124" i="7" s="1"/>
  <c r="AD124" i="7" s="1"/>
  <c r="AE124" i="7" s="1"/>
  <c r="AF124" i="7" s="1"/>
  <c r="AG124" i="7" s="1"/>
  <c r="AH124" i="7" s="1"/>
  <c r="D109" i="7"/>
  <c r="E109" i="7" s="1"/>
  <c r="F109" i="7" s="1"/>
  <c r="G109" i="7" s="1"/>
  <c r="H109" i="7" s="1"/>
  <c r="I109" i="7" s="1"/>
  <c r="J109" i="7" s="1"/>
  <c r="K109" i="7" s="1"/>
  <c r="L109" i="7" s="1"/>
  <c r="M109" i="7" s="1"/>
  <c r="N109" i="7" s="1"/>
  <c r="O109" i="7" s="1"/>
  <c r="P109" i="7" s="1"/>
  <c r="Q109" i="7" s="1"/>
  <c r="R109" i="7" s="1"/>
  <c r="S109" i="7" s="1"/>
  <c r="T109" i="7" s="1"/>
  <c r="U109" i="7" s="1"/>
  <c r="V109" i="7" s="1"/>
  <c r="W109" i="7" s="1"/>
  <c r="X109" i="7" s="1"/>
  <c r="Y109" i="7" s="1"/>
  <c r="Z109" i="7" s="1"/>
  <c r="AA109" i="7" s="1"/>
  <c r="AB109" i="7" s="1"/>
  <c r="AC109" i="7" s="1"/>
  <c r="AD109" i="7" s="1"/>
  <c r="AE109" i="7" s="1"/>
  <c r="AF109" i="7" s="1"/>
  <c r="AG109" i="7" s="1"/>
  <c r="AH109" i="7" s="1"/>
  <c r="D122" i="7"/>
  <c r="E122" i="7" s="1"/>
  <c r="F122" i="7" s="1"/>
  <c r="G122" i="7" s="1"/>
  <c r="H122" i="7" s="1"/>
  <c r="I122" i="7" s="1"/>
  <c r="J122" i="7" s="1"/>
  <c r="K122" i="7" s="1"/>
  <c r="L122" i="7" s="1"/>
  <c r="M122" i="7" s="1"/>
  <c r="N122" i="7" s="1"/>
  <c r="O122" i="7" s="1"/>
  <c r="P122" i="7" s="1"/>
  <c r="Q122" i="7" s="1"/>
  <c r="R122" i="7" s="1"/>
  <c r="S122" i="7" s="1"/>
  <c r="T122" i="7" s="1"/>
  <c r="U122" i="7" s="1"/>
  <c r="V122" i="7" s="1"/>
  <c r="W122" i="7" s="1"/>
  <c r="X122" i="7" s="1"/>
  <c r="Y122" i="7" s="1"/>
  <c r="Z122" i="7" s="1"/>
  <c r="AA122" i="7" s="1"/>
  <c r="AB122" i="7" s="1"/>
  <c r="AC122" i="7" s="1"/>
  <c r="AD122" i="7" s="1"/>
  <c r="AE122" i="7" s="1"/>
  <c r="AF122" i="7" s="1"/>
  <c r="AG122" i="7" s="1"/>
  <c r="AH122" i="7" s="1"/>
  <c r="D76" i="7"/>
  <c r="E76" i="7" s="1"/>
  <c r="F76" i="7" s="1"/>
  <c r="G76" i="7" s="1"/>
  <c r="H76" i="7" s="1"/>
  <c r="I76" i="7" s="1"/>
  <c r="J76" i="7" s="1"/>
  <c r="K76" i="7" s="1"/>
  <c r="L76" i="7" s="1"/>
  <c r="M76" i="7" s="1"/>
  <c r="N76" i="7" s="1"/>
  <c r="O76" i="7" s="1"/>
  <c r="P76" i="7" s="1"/>
  <c r="Q76" i="7" s="1"/>
  <c r="R76" i="7" s="1"/>
  <c r="S76" i="7" s="1"/>
  <c r="T76" i="7" s="1"/>
  <c r="U76" i="7" s="1"/>
  <c r="V76" i="7" s="1"/>
  <c r="W76" i="7" s="1"/>
  <c r="X76" i="7" s="1"/>
  <c r="Y76" i="7" s="1"/>
  <c r="Z76" i="7" s="1"/>
  <c r="AA76" i="7" s="1"/>
  <c r="AB76" i="7" s="1"/>
  <c r="AC76" i="7" s="1"/>
  <c r="AD76" i="7" s="1"/>
  <c r="AE76" i="7" s="1"/>
  <c r="AF76" i="7" s="1"/>
  <c r="AG76" i="7" s="1"/>
  <c r="AH76" i="7" s="1"/>
  <c r="D94" i="7"/>
  <c r="E94" i="7" s="1"/>
  <c r="F94" i="7" s="1"/>
  <c r="G94" i="7" s="1"/>
  <c r="H94" i="7" s="1"/>
  <c r="I94" i="7" s="1"/>
  <c r="J94" i="7" s="1"/>
  <c r="K94" i="7" s="1"/>
  <c r="L94" i="7" s="1"/>
  <c r="M94" i="7" s="1"/>
  <c r="N94" i="7" s="1"/>
  <c r="O94" i="7" s="1"/>
  <c r="P94" i="7" s="1"/>
  <c r="Q94" i="7" s="1"/>
  <c r="R94" i="7" s="1"/>
  <c r="S94" i="7" s="1"/>
  <c r="T94" i="7" s="1"/>
  <c r="U94" i="7" s="1"/>
  <c r="V94" i="7" s="1"/>
  <c r="W94" i="7" s="1"/>
  <c r="X94" i="7" s="1"/>
  <c r="Y94" i="7" s="1"/>
  <c r="Z94" i="7" s="1"/>
  <c r="AA94" i="7" s="1"/>
  <c r="AB94" i="7" s="1"/>
  <c r="AC94" i="7" s="1"/>
  <c r="AD94" i="7" s="1"/>
  <c r="AE94" i="7" s="1"/>
  <c r="AF94" i="7" s="1"/>
  <c r="AG94" i="7" s="1"/>
  <c r="AH94" i="7" s="1"/>
  <c r="D34" i="7"/>
  <c r="E34" i="7" s="1"/>
  <c r="F34" i="7" s="1"/>
  <c r="G34" i="7" s="1"/>
  <c r="H34" i="7" s="1"/>
  <c r="I34" i="7" s="1"/>
  <c r="J34" i="7" s="1"/>
  <c r="K34" i="7" s="1"/>
  <c r="L34" i="7" s="1"/>
  <c r="M34" i="7" s="1"/>
  <c r="N34" i="7" s="1"/>
  <c r="O34" i="7" s="1"/>
  <c r="P34" i="7" s="1"/>
  <c r="Q34" i="7" s="1"/>
  <c r="R34" i="7" s="1"/>
  <c r="S34" i="7" s="1"/>
  <c r="T34" i="7" s="1"/>
  <c r="U34" i="7" s="1"/>
  <c r="V34" i="7" s="1"/>
  <c r="W34" i="7" s="1"/>
  <c r="X34" i="7" s="1"/>
  <c r="Y34" i="7" s="1"/>
  <c r="Z34" i="7" s="1"/>
  <c r="AA34" i="7" s="1"/>
  <c r="AB34" i="7" s="1"/>
  <c r="AC34" i="7" s="1"/>
  <c r="AD34" i="7" s="1"/>
  <c r="AE34" i="7" s="1"/>
  <c r="AF34" i="7" s="1"/>
  <c r="AG34" i="7" s="1"/>
  <c r="AH34" i="7" s="1"/>
  <c r="D87" i="7"/>
  <c r="E87" i="7" s="1"/>
  <c r="F87" i="7" s="1"/>
  <c r="G87" i="7" s="1"/>
  <c r="H87" i="7" s="1"/>
  <c r="I87" i="7" s="1"/>
  <c r="J87" i="7" s="1"/>
  <c r="K87" i="7" s="1"/>
  <c r="L87" i="7" s="1"/>
  <c r="M87" i="7" s="1"/>
  <c r="N87" i="7" s="1"/>
  <c r="O87" i="7" s="1"/>
  <c r="P87" i="7" s="1"/>
  <c r="Q87" i="7" s="1"/>
  <c r="R87" i="7" s="1"/>
  <c r="S87" i="7" s="1"/>
  <c r="T87" i="7" s="1"/>
  <c r="U87" i="7" s="1"/>
  <c r="V87" i="7" s="1"/>
  <c r="W87" i="7" s="1"/>
  <c r="X87" i="7" s="1"/>
  <c r="Y87" i="7" s="1"/>
  <c r="Z87" i="7" s="1"/>
  <c r="AA87" i="7" s="1"/>
  <c r="AB87" i="7" s="1"/>
  <c r="AC87" i="7" s="1"/>
  <c r="AD87" i="7" s="1"/>
  <c r="AE87" i="7" s="1"/>
  <c r="AF87" i="7" s="1"/>
  <c r="AG87" i="7" s="1"/>
  <c r="AH87" i="7" s="1"/>
  <c r="D50" i="7"/>
  <c r="E50" i="7" s="1"/>
  <c r="F50" i="7" s="1"/>
  <c r="G50" i="7" s="1"/>
  <c r="H50" i="7" s="1"/>
  <c r="I50" i="7" s="1"/>
  <c r="J50" i="7" s="1"/>
  <c r="K50" i="7" s="1"/>
  <c r="L50" i="7" s="1"/>
  <c r="M50" i="7" s="1"/>
  <c r="N50" i="7" s="1"/>
  <c r="O50" i="7" s="1"/>
  <c r="P50" i="7" s="1"/>
  <c r="Q50" i="7" s="1"/>
  <c r="R50" i="7" s="1"/>
  <c r="S50" i="7" s="1"/>
  <c r="T50" i="7" s="1"/>
  <c r="U50" i="7" s="1"/>
  <c r="V50" i="7" s="1"/>
  <c r="W50" i="7" s="1"/>
  <c r="X50" i="7" s="1"/>
  <c r="Y50" i="7" s="1"/>
  <c r="Z50" i="7" s="1"/>
  <c r="AA50" i="7" s="1"/>
  <c r="AB50" i="7" s="1"/>
  <c r="AC50" i="7" s="1"/>
  <c r="AD50" i="7" s="1"/>
  <c r="AE50" i="7" s="1"/>
  <c r="AF50" i="7" s="1"/>
  <c r="AG50" i="7" s="1"/>
  <c r="AH50" i="7" s="1"/>
  <c r="D19" i="7"/>
  <c r="E19" i="7" s="1"/>
  <c r="F19" i="7" s="1"/>
  <c r="G19" i="7" s="1"/>
  <c r="H19" i="7" s="1"/>
  <c r="I19" i="7" s="1"/>
  <c r="J19" i="7" s="1"/>
  <c r="K19" i="7" s="1"/>
  <c r="L19" i="7" s="1"/>
  <c r="M19" i="7" s="1"/>
  <c r="N19" i="7" s="1"/>
  <c r="O19" i="7" s="1"/>
  <c r="P19" i="7" s="1"/>
  <c r="Q19" i="7" s="1"/>
  <c r="R19" i="7" s="1"/>
  <c r="S19" i="7" s="1"/>
  <c r="T19" i="7" s="1"/>
  <c r="U19" i="7" s="1"/>
  <c r="V19" i="7" s="1"/>
  <c r="W19" i="7" s="1"/>
  <c r="X19" i="7" s="1"/>
  <c r="Y19" i="7" s="1"/>
  <c r="Z19" i="7" s="1"/>
  <c r="AA19" i="7" s="1"/>
  <c r="AB19" i="7" s="1"/>
  <c r="AC19" i="7" s="1"/>
  <c r="AD19" i="7" s="1"/>
  <c r="AE19" i="7" s="1"/>
  <c r="AF19" i="7" s="1"/>
  <c r="AG19" i="7" s="1"/>
  <c r="AH19" i="7" s="1"/>
  <c r="D209" i="7"/>
  <c r="E209" i="7" s="1"/>
  <c r="F209" i="7" s="1"/>
  <c r="G209" i="7" s="1"/>
  <c r="H209" i="7" s="1"/>
  <c r="I209" i="7" s="1"/>
  <c r="J209" i="7" s="1"/>
  <c r="K209" i="7" s="1"/>
  <c r="L209" i="7" s="1"/>
  <c r="M209" i="7" s="1"/>
  <c r="N209" i="7" s="1"/>
  <c r="O209" i="7" s="1"/>
  <c r="P209" i="7" s="1"/>
  <c r="Q209" i="7" s="1"/>
  <c r="R209" i="7" s="1"/>
  <c r="S209" i="7" s="1"/>
  <c r="T209" i="7" s="1"/>
  <c r="U209" i="7" s="1"/>
  <c r="V209" i="7" s="1"/>
  <c r="W209" i="7" s="1"/>
  <c r="X209" i="7" s="1"/>
  <c r="Y209" i="7" s="1"/>
  <c r="Z209" i="7" s="1"/>
  <c r="AA209" i="7" s="1"/>
  <c r="AB209" i="7" s="1"/>
  <c r="AC209" i="7" s="1"/>
  <c r="AD209" i="7" s="1"/>
  <c r="AE209" i="7" s="1"/>
  <c r="AF209" i="7" s="1"/>
  <c r="AG209" i="7" s="1"/>
  <c r="AH209" i="7" s="1"/>
  <c r="D195" i="7"/>
  <c r="E195" i="7" s="1"/>
  <c r="F195" i="7" s="1"/>
  <c r="G195" i="7" s="1"/>
  <c r="H195" i="7" s="1"/>
  <c r="I195" i="7" s="1"/>
  <c r="J195" i="7" s="1"/>
  <c r="K195" i="7" s="1"/>
  <c r="L195" i="7" s="1"/>
  <c r="M195" i="7" s="1"/>
  <c r="N195" i="7" s="1"/>
  <c r="O195" i="7" s="1"/>
  <c r="P195" i="7" s="1"/>
  <c r="Q195" i="7" s="1"/>
  <c r="R195" i="7" s="1"/>
  <c r="S195" i="7" s="1"/>
  <c r="T195" i="7" s="1"/>
  <c r="U195" i="7" s="1"/>
  <c r="V195" i="7" s="1"/>
  <c r="W195" i="7" s="1"/>
  <c r="X195" i="7" s="1"/>
  <c r="Y195" i="7" s="1"/>
  <c r="Z195" i="7" s="1"/>
  <c r="AA195" i="7" s="1"/>
  <c r="AB195" i="7" s="1"/>
  <c r="AC195" i="7" s="1"/>
  <c r="AD195" i="7" s="1"/>
  <c r="AE195" i="7" s="1"/>
  <c r="AF195" i="7" s="1"/>
  <c r="AG195" i="7" s="1"/>
  <c r="AH195" i="7" s="1"/>
  <c r="D174" i="7"/>
  <c r="E174" i="7" s="1"/>
  <c r="F174" i="7" s="1"/>
  <c r="G174" i="7" s="1"/>
  <c r="H174" i="7" s="1"/>
  <c r="I174" i="7" s="1"/>
  <c r="J174" i="7" s="1"/>
  <c r="K174" i="7" s="1"/>
  <c r="L174" i="7" s="1"/>
  <c r="M174" i="7" s="1"/>
  <c r="N174" i="7" s="1"/>
  <c r="O174" i="7" s="1"/>
  <c r="P174" i="7" s="1"/>
  <c r="Q174" i="7" s="1"/>
  <c r="R174" i="7" s="1"/>
  <c r="S174" i="7" s="1"/>
  <c r="T174" i="7" s="1"/>
  <c r="U174" i="7" s="1"/>
  <c r="V174" i="7" s="1"/>
  <c r="W174" i="7" s="1"/>
  <c r="X174" i="7" s="1"/>
  <c r="Y174" i="7" s="1"/>
  <c r="Z174" i="7" s="1"/>
  <c r="AA174" i="7" s="1"/>
  <c r="AB174" i="7" s="1"/>
  <c r="AC174" i="7" s="1"/>
  <c r="AD174" i="7" s="1"/>
  <c r="AE174" i="7" s="1"/>
  <c r="AF174" i="7" s="1"/>
  <c r="AG174" i="7" s="1"/>
  <c r="AH174" i="7" s="1"/>
  <c r="D151" i="7"/>
  <c r="E151" i="7" s="1"/>
  <c r="F151" i="7" s="1"/>
  <c r="G151" i="7" s="1"/>
  <c r="H151" i="7" s="1"/>
  <c r="I151" i="7" s="1"/>
  <c r="J151" i="7" s="1"/>
  <c r="K151" i="7" s="1"/>
  <c r="L151" i="7" s="1"/>
  <c r="M151" i="7" s="1"/>
  <c r="N151" i="7" s="1"/>
  <c r="O151" i="7" s="1"/>
  <c r="P151" i="7" s="1"/>
  <c r="Q151" i="7" s="1"/>
  <c r="R151" i="7" s="1"/>
  <c r="S151" i="7" s="1"/>
  <c r="T151" i="7" s="1"/>
  <c r="U151" i="7" s="1"/>
  <c r="V151" i="7" s="1"/>
  <c r="W151" i="7" s="1"/>
  <c r="X151" i="7" s="1"/>
  <c r="Y151" i="7" s="1"/>
  <c r="Z151" i="7" s="1"/>
  <c r="AA151" i="7" s="1"/>
  <c r="AB151" i="7" s="1"/>
  <c r="AC151" i="7" s="1"/>
  <c r="AD151" i="7" s="1"/>
  <c r="AE151" i="7" s="1"/>
  <c r="AF151" i="7" s="1"/>
  <c r="AG151" i="7" s="1"/>
  <c r="AH151" i="7" s="1"/>
  <c r="D110" i="7"/>
  <c r="E110" i="7" s="1"/>
  <c r="F110" i="7" s="1"/>
  <c r="G110" i="7" s="1"/>
  <c r="H110" i="7" s="1"/>
  <c r="I110" i="7" s="1"/>
  <c r="J110" i="7" s="1"/>
  <c r="K110" i="7" s="1"/>
  <c r="L110" i="7" s="1"/>
  <c r="M110" i="7" s="1"/>
  <c r="N110" i="7" s="1"/>
  <c r="O110" i="7" s="1"/>
  <c r="P110" i="7" s="1"/>
  <c r="Q110" i="7" s="1"/>
  <c r="R110" i="7" s="1"/>
  <c r="S110" i="7" s="1"/>
  <c r="T110" i="7" s="1"/>
  <c r="U110" i="7" s="1"/>
  <c r="V110" i="7" s="1"/>
  <c r="W110" i="7" s="1"/>
  <c r="X110" i="7" s="1"/>
  <c r="Y110" i="7" s="1"/>
  <c r="Z110" i="7" s="1"/>
  <c r="AA110" i="7" s="1"/>
  <c r="AB110" i="7" s="1"/>
  <c r="AC110" i="7" s="1"/>
  <c r="AD110" i="7" s="1"/>
  <c r="AE110" i="7" s="1"/>
  <c r="AF110" i="7" s="1"/>
  <c r="AG110" i="7" s="1"/>
  <c r="AH110" i="7" s="1"/>
  <c r="D72" i="7"/>
  <c r="E72" i="7" s="1"/>
  <c r="F72" i="7" s="1"/>
  <c r="G72" i="7" s="1"/>
  <c r="H72" i="7" s="1"/>
  <c r="I72" i="7" s="1"/>
  <c r="J72" i="7" s="1"/>
  <c r="K72" i="7" s="1"/>
  <c r="L72" i="7" s="1"/>
  <c r="M72" i="7" s="1"/>
  <c r="N72" i="7" s="1"/>
  <c r="O72" i="7" s="1"/>
  <c r="P72" i="7" s="1"/>
  <c r="Q72" i="7" s="1"/>
  <c r="R72" i="7" s="1"/>
  <c r="S72" i="7" s="1"/>
  <c r="T72" i="7" s="1"/>
  <c r="U72" i="7" s="1"/>
  <c r="V72" i="7" s="1"/>
  <c r="W72" i="7" s="1"/>
  <c r="X72" i="7" s="1"/>
  <c r="Y72" i="7" s="1"/>
  <c r="Z72" i="7" s="1"/>
  <c r="AA72" i="7" s="1"/>
  <c r="AB72" i="7" s="1"/>
  <c r="AC72" i="7" s="1"/>
  <c r="AD72" i="7" s="1"/>
  <c r="AE72" i="7" s="1"/>
  <c r="AF72" i="7" s="1"/>
  <c r="AG72" i="7" s="1"/>
  <c r="AH72" i="7" s="1"/>
  <c r="D20" i="7"/>
  <c r="E20" i="7" s="1"/>
  <c r="F20" i="7" s="1"/>
  <c r="G20" i="7" s="1"/>
  <c r="H20" i="7" s="1"/>
  <c r="I20" i="7" s="1"/>
  <c r="J20" i="7" s="1"/>
  <c r="K20" i="7" s="1"/>
  <c r="L20" i="7" s="1"/>
  <c r="M20" i="7" s="1"/>
  <c r="N20" i="7" s="1"/>
  <c r="O20" i="7" s="1"/>
  <c r="P20" i="7" s="1"/>
  <c r="Q20" i="7" s="1"/>
  <c r="R20" i="7" s="1"/>
  <c r="S20" i="7" s="1"/>
  <c r="T20" i="7" s="1"/>
  <c r="U20" i="7" s="1"/>
  <c r="V20" i="7" s="1"/>
  <c r="W20" i="7" s="1"/>
  <c r="X20" i="7" s="1"/>
  <c r="Y20" i="7" s="1"/>
  <c r="Z20" i="7" s="1"/>
  <c r="AA20" i="7" s="1"/>
  <c r="AB20" i="7" s="1"/>
  <c r="AC20" i="7" s="1"/>
  <c r="AD20" i="7" s="1"/>
  <c r="AE20" i="7" s="1"/>
  <c r="AF20" i="7" s="1"/>
  <c r="AG20" i="7" s="1"/>
  <c r="AH20" i="7" s="1"/>
  <c r="D215" i="7"/>
  <c r="E215" i="7" s="1"/>
  <c r="F215" i="7" s="1"/>
  <c r="G215" i="7" s="1"/>
  <c r="H215" i="7" s="1"/>
  <c r="I215" i="7" s="1"/>
  <c r="J215" i="7" s="1"/>
  <c r="K215" i="7" s="1"/>
  <c r="L215" i="7" s="1"/>
  <c r="M215" i="7" s="1"/>
  <c r="N215" i="7" s="1"/>
  <c r="O215" i="7" s="1"/>
  <c r="P215" i="7" s="1"/>
  <c r="Q215" i="7" s="1"/>
  <c r="R215" i="7" s="1"/>
  <c r="S215" i="7" s="1"/>
  <c r="T215" i="7" s="1"/>
  <c r="U215" i="7" s="1"/>
  <c r="V215" i="7" s="1"/>
  <c r="W215" i="7" s="1"/>
  <c r="X215" i="7" s="1"/>
  <c r="Y215" i="7" s="1"/>
  <c r="Z215" i="7" s="1"/>
  <c r="AA215" i="7" s="1"/>
  <c r="AB215" i="7" s="1"/>
  <c r="AC215" i="7" s="1"/>
  <c r="AD215" i="7" s="1"/>
  <c r="AE215" i="7" s="1"/>
  <c r="AF215" i="7" s="1"/>
  <c r="AG215" i="7" s="1"/>
  <c r="AH215" i="7" s="1"/>
  <c r="D132" i="7"/>
  <c r="E132" i="7" s="1"/>
  <c r="F132" i="7" s="1"/>
  <c r="G132" i="7" s="1"/>
  <c r="H132" i="7" s="1"/>
  <c r="I132" i="7" s="1"/>
  <c r="J132" i="7" s="1"/>
  <c r="K132" i="7" s="1"/>
  <c r="L132" i="7" s="1"/>
  <c r="M132" i="7" s="1"/>
  <c r="N132" i="7" s="1"/>
  <c r="O132" i="7" s="1"/>
  <c r="P132" i="7" s="1"/>
  <c r="Q132" i="7" s="1"/>
  <c r="R132" i="7" s="1"/>
  <c r="S132" i="7" s="1"/>
  <c r="T132" i="7" s="1"/>
  <c r="U132" i="7" s="1"/>
  <c r="V132" i="7" s="1"/>
  <c r="W132" i="7" s="1"/>
  <c r="X132" i="7" s="1"/>
  <c r="Y132" i="7" s="1"/>
  <c r="Z132" i="7" s="1"/>
  <c r="AA132" i="7" s="1"/>
  <c r="AB132" i="7" s="1"/>
  <c r="AC132" i="7" s="1"/>
  <c r="AD132" i="7" s="1"/>
  <c r="AE132" i="7" s="1"/>
  <c r="AF132" i="7" s="1"/>
  <c r="AG132" i="7" s="1"/>
  <c r="AH132" i="7" s="1"/>
  <c r="D70" i="7"/>
  <c r="E70" i="7" s="1"/>
  <c r="F70" i="7" s="1"/>
  <c r="G70" i="7" s="1"/>
  <c r="H70" i="7" s="1"/>
  <c r="I70" i="7" s="1"/>
  <c r="J70" i="7" s="1"/>
  <c r="K70" i="7" s="1"/>
  <c r="L70" i="7" s="1"/>
  <c r="M70" i="7" s="1"/>
  <c r="N70" i="7" s="1"/>
  <c r="O70" i="7" s="1"/>
  <c r="P70" i="7" s="1"/>
  <c r="Q70" i="7" s="1"/>
  <c r="R70" i="7" s="1"/>
  <c r="S70" i="7" s="1"/>
  <c r="T70" i="7" s="1"/>
  <c r="U70" i="7" s="1"/>
  <c r="V70" i="7" s="1"/>
  <c r="W70" i="7" s="1"/>
  <c r="X70" i="7" s="1"/>
  <c r="Y70" i="7" s="1"/>
  <c r="Z70" i="7" s="1"/>
  <c r="AA70" i="7" s="1"/>
  <c r="AB70" i="7" s="1"/>
  <c r="AC70" i="7" s="1"/>
  <c r="AD70" i="7" s="1"/>
  <c r="AE70" i="7" s="1"/>
  <c r="AF70" i="7" s="1"/>
  <c r="AG70" i="7" s="1"/>
  <c r="AH70" i="7" s="1"/>
  <c r="D153" i="7"/>
  <c r="E153" i="7" s="1"/>
  <c r="F153" i="7" s="1"/>
  <c r="G153" i="7" s="1"/>
  <c r="H153" i="7" s="1"/>
  <c r="I153" i="7" s="1"/>
  <c r="J153" i="7" s="1"/>
  <c r="K153" i="7" s="1"/>
  <c r="L153" i="7" s="1"/>
  <c r="M153" i="7" s="1"/>
  <c r="N153" i="7" s="1"/>
  <c r="O153" i="7" s="1"/>
  <c r="P153" i="7" s="1"/>
  <c r="Q153" i="7" s="1"/>
  <c r="R153" i="7" s="1"/>
  <c r="S153" i="7" s="1"/>
  <c r="T153" i="7" s="1"/>
  <c r="U153" i="7" s="1"/>
  <c r="V153" i="7" s="1"/>
  <c r="W153" i="7" s="1"/>
  <c r="X153" i="7" s="1"/>
  <c r="Y153" i="7" s="1"/>
  <c r="Z153" i="7" s="1"/>
  <c r="AA153" i="7" s="1"/>
  <c r="AB153" i="7" s="1"/>
  <c r="AC153" i="7" s="1"/>
  <c r="AD153" i="7" s="1"/>
  <c r="AE153" i="7" s="1"/>
  <c r="AF153" i="7" s="1"/>
  <c r="AG153" i="7" s="1"/>
  <c r="AH153" i="7" s="1"/>
  <c r="D58" i="7"/>
  <c r="E58" i="7" s="1"/>
  <c r="F58" i="7" s="1"/>
  <c r="G58" i="7" s="1"/>
  <c r="H58" i="7" s="1"/>
  <c r="I58" i="7" s="1"/>
  <c r="J58" i="7" s="1"/>
  <c r="K58" i="7" s="1"/>
  <c r="L58" i="7" s="1"/>
  <c r="M58" i="7" s="1"/>
  <c r="N58" i="7" s="1"/>
  <c r="O58" i="7" s="1"/>
  <c r="P58" i="7" s="1"/>
  <c r="Q58" i="7" s="1"/>
  <c r="R58" i="7" s="1"/>
  <c r="S58" i="7" s="1"/>
  <c r="T58" i="7" s="1"/>
  <c r="U58" i="7" s="1"/>
  <c r="V58" i="7" s="1"/>
  <c r="W58" i="7" s="1"/>
  <c r="X58" i="7" s="1"/>
  <c r="Y58" i="7" s="1"/>
  <c r="Z58" i="7" s="1"/>
  <c r="AA58" i="7" s="1"/>
  <c r="AB58" i="7" s="1"/>
  <c r="AC58" i="7" s="1"/>
  <c r="AD58" i="7" s="1"/>
  <c r="AE58" i="7" s="1"/>
  <c r="AF58" i="7" s="1"/>
  <c r="AG58" i="7" s="1"/>
  <c r="AH58" i="7" s="1"/>
  <c r="D28" i="7"/>
  <c r="E28" i="7" s="1"/>
  <c r="F28" i="7" s="1"/>
  <c r="G28" i="7" s="1"/>
  <c r="H28" i="7" s="1"/>
  <c r="I28" i="7" s="1"/>
  <c r="J28" i="7" s="1"/>
  <c r="K28" i="7" s="1"/>
  <c r="L28" i="7" s="1"/>
  <c r="M28" i="7" s="1"/>
  <c r="N28" i="7" s="1"/>
  <c r="O28" i="7" s="1"/>
  <c r="P28" i="7" s="1"/>
  <c r="Q28" i="7" s="1"/>
  <c r="R28" i="7" s="1"/>
  <c r="S28" i="7" s="1"/>
  <c r="T28" i="7" s="1"/>
  <c r="U28" i="7" s="1"/>
  <c r="V28" i="7" s="1"/>
  <c r="W28" i="7" s="1"/>
  <c r="X28" i="7" s="1"/>
  <c r="Y28" i="7" s="1"/>
  <c r="Z28" i="7" s="1"/>
  <c r="AA28" i="7" s="1"/>
  <c r="AB28" i="7" s="1"/>
  <c r="AC28" i="7" s="1"/>
  <c r="AD28" i="7" s="1"/>
  <c r="AE28" i="7" s="1"/>
  <c r="AF28" i="7" s="1"/>
  <c r="AG28" i="7" s="1"/>
  <c r="AH28" i="7" s="1"/>
  <c r="D192" i="7"/>
  <c r="E192" i="7" s="1"/>
  <c r="F192" i="7" s="1"/>
  <c r="G192" i="7" s="1"/>
  <c r="H192" i="7" s="1"/>
  <c r="I192" i="7" s="1"/>
  <c r="J192" i="7" s="1"/>
  <c r="K192" i="7" s="1"/>
  <c r="L192" i="7" s="1"/>
  <c r="M192" i="7" s="1"/>
  <c r="N192" i="7" s="1"/>
  <c r="O192" i="7" s="1"/>
  <c r="P192" i="7" s="1"/>
  <c r="Q192" i="7" s="1"/>
  <c r="R192" i="7" s="1"/>
  <c r="S192" i="7" s="1"/>
  <c r="T192" i="7" s="1"/>
  <c r="U192" i="7" s="1"/>
  <c r="V192" i="7" s="1"/>
  <c r="W192" i="7" s="1"/>
  <c r="X192" i="7" s="1"/>
  <c r="Y192" i="7" s="1"/>
  <c r="Z192" i="7" s="1"/>
  <c r="AA192" i="7" s="1"/>
  <c r="AB192" i="7" s="1"/>
  <c r="AC192" i="7" s="1"/>
  <c r="AD192" i="7" s="1"/>
  <c r="AE192" i="7" s="1"/>
  <c r="AF192" i="7" s="1"/>
  <c r="AG192" i="7" s="1"/>
  <c r="AH192" i="7" s="1"/>
  <c r="D211" i="7"/>
  <c r="E211" i="7" s="1"/>
  <c r="F211" i="7" s="1"/>
  <c r="G211" i="7" s="1"/>
  <c r="H211" i="7" s="1"/>
  <c r="I211" i="7" s="1"/>
  <c r="J211" i="7" s="1"/>
  <c r="K211" i="7" s="1"/>
  <c r="L211" i="7" s="1"/>
  <c r="M211" i="7" s="1"/>
  <c r="N211" i="7" s="1"/>
  <c r="O211" i="7" s="1"/>
  <c r="P211" i="7" s="1"/>
  <c r="Q211" i="7" s="1"/>
  <c r="R211" i="7" s="1"/>
  <c r="S211" i="7" s="1"/>
  <c r="T211" i="7" s="1"/>
  <c r="U211" i="7" s="1"/>
  <c r="V211" i="7" s="1"/>
  <c r="W211" i="7" s="1"/>
  <c r="X211" i="7" s="1"/>
  <c r="Y211" i="7" s="1"/>
  <c r="Z211" i="7" s="1"/>
  <c r="AA211" i="7" s="1"/>
  <c r="AB211" i="7" s="1"/>
  <c r="AC211" i="7" s="1"/>
  <c r="AD211" i="7" s="1"/>
  <c r="AE211" i="7" s="1"/>
  <c r="AF211" i="7" s="1"/>
  <c r="AG211" i="7" s="1"/>
  <c r="AH211" i="7" s="1"/>
  <c r="D157" i="7"/>
  <c r="E157" i="7" s="1"/>
  <c r="F157" i="7" s="1"/>
  <c r="G157" i="7" s="1"/>
  <c r="H157" i="7" s="1"/>
  <c r="I157" i="7" s="1"/>
  <c r="J157" i="7" s="1"/>
  <c r="K157" i="7" s="1"/>
  <c r="L157" i="7" s="1"/>
  <c r="M157" i="7" s="1"/>
  <c r="N157" i="7" s="1"/>
  <c r="O157" i="7" s="1"/>
  <c r="P157" i="7" s="1"/>
  <c r="Q157" i="7" s="1"/>
  <c r="R157" i="7" s="1"/>
  <c r="S157" i="7" s="1"/>
  <c r="T157" i="7" s="1"/>
  <c r="U157" i="7" s="1"/>
  <c r="V157" i="7" s="1"/>
  <c r="W157" i="7" s="1"/>
  <c r="X157" i="7" s="1"/>
  <c r="Y157" i="7" s="1"/>
  <c r="Z157" i="7" s="1"/>
  <c r="AA157" i="7" s="1"/>
  <c r="AB157" i="7" s="1"/>
  <c r="AC157" i="7" s="1"/>
  <c r="AD157" i="7" s="1"/>
  <c r="AE157" i="7" s="1"/>
  <c r="AF157" i="7" s="1"/>
  <c r="AG157" i="7" s="1"/>
  <c r="AH157" i="7" s="1"/>
  <c r="D92" i="7"/>
  <c r="E92" i="7" s="1"/>
  <c r="F92" i="7" s="1"/>
  <c r="G92" i="7" s="1"/>
  <c r="H92" i="7" s="1"/>
  <c r="I92" i="7" s="1"/>
  <c r="J92" i="7" s="1"/>
  <c r="K92" i="7" s="1"/>
  <c r="L92" i="7" s="1"/>
  <c r="M92" i="7" s="1"/>
  <c r="N92" i="7" s="1"/>
  <c r="O92" i="7" s="1"/>
  <c r="P92" i="7" s="1"/>
  <c r="Q92" i="7" s="1"/>
  <c r="R92" i="7" s="1"/>
  <c r="S92" i="7" s="1"/>
  <c r="T92" i="7" s="1"/>
  <c r="U92" i="7" s="1"/>
  <c r="V92" i="7" s="1"/>
  <c r="W92" i="7" s="1"/>
  <c r="X92" i="7" s="1"/>
  <c r="Y92" i="7" s="1"/>
  <c r="Z92" i="7" s="1"/>
  <c r="AA92" i="7" s="1"/>
  <c r="AB92" i="7" s="1"/>
  <c r="AC92" i="7" s="1"/>
  <c r="AD92" i="7" s="1"/>
  <c r="AE92" i="7" s="1"/>
  <c r="AF92" i="7" s="1"/>
  <c r="AG92" i="7" s="1"/>
  <c r="AH92" i="7" s="1"/>
  <c r="D43" i="7"/>
  <c r="E43" i="7" s="1"/>
  <c r="F43" i="7" s="1"/>
  <c r="G43" i="7" s="1"/>
  <c r="H43" i="7" s="1"/>
  <c r="I43" i="7" s="1"/>
  <c r="J43" i="7" s="1"/>
  <c r="K43" i="7" s="1"/>
  <c r="L43" i="7" s="1"/>
  <c r="M43" i="7" s="1"/>
  <c r="N43" i="7" s="1"/>
  <c r="O43" i="7" s="1"/>
  <c r="P43" i="7" s="1"/>
  <c r="Q43" i="7" s="1"/>
  <c r="R43" i="7" s="1"/>
  <c r="S43" i="7" s="1"/>
  <c r="T43" i="7" s="1"/>
  <c r="U43" i="7" s="1"/>
  <c r="V43" i="7" s="1"/>
  <c r="W43" i="7" s="1"/>
  <c r="X43" i="7" s="1"/>
  <c r="Y43" i="7" s="1"/>
  <c r="Z43" i="7" s="1"/>
  <c r="AA43" i="7" s="1"/>
  <c r="AB43" i="7" s="1"/>
  <c r="AC43" i="7" s="1"/>
  <c r="AD43" i="7" s="1"/>
  <c r="AE43" i="7" s="1"/>
  <c r="AF43" i="7" s="1"/>
  <c r="AG43" i="7" s="1"/>
  <c r="AH43" i="7" s="1"/>
  <c r="D208" i="7"/>
  <c r="E208" i="7" s="1"/>
  <c r="F208" i="7" s="1"/>
  <c r="G208" i="7" s="1"/>
  <c r="H208" i="7" s="1"/>
  <c r="I208" i="7" s="1"/>
  <c r="J208" i="7" s="1"/>
  <c r="K208" i="7" s="1"/>
  <c r="L208" i="7" s="1"/>
  <c r="M208" i="7" s="1"/>
  <c r="N208" i="7" s="1"/>
  <c r="O208" i="7" s="1"/>
  <c r="P208" i="7" s="1"/>
  <c r="Q208" i="7" s="1"/>
  <c r="R208" i="7" s="1"/>
  <c r="S208" i="7" s="1"/>
  <c r="T208" i="7" s="1"/>
  <c r="U208" i="7" s="1"/>
  <c r="V208" i="7" s="1"/>
  <c r="W208" i="7" s="1"/>
  <c r="X208" i="7" s="1"/>
  <c r="Y208" i="7" s="1"/>
  <c r="Z208" i="7" s="1"/>
  <c r="AA208" i="7" s="1"/>
  <c r="AB208" i="7" s="1"/>
  <c r="AC208" i="7" s="1"/>
  <c r="AD208" i="7" s="1"/>
  <c r="AE208" i="7" s="1"/>
  <c r="AF208" i="7" s="1"/>
  <c r="AG208" i="7" s="1"/>
  <c r="AH208" i="7" s="1"/>
  <c r="D161" i="7"/>
  <c r="E161" i="7" s="1"/>
  <c r="F161" i="7" s="1"/>
  <c r="G161" i="7" s="1"/>
  <c r="H161" i="7" s="1"/>
  <c r="I161" i="7" s="1"/>
  <c r="J161" i="7" s="1"/>
  <c r="K161" i="7" s="1"/>
  <c r="L161" i="7" s="1"/>
  <c r="M161" i="7" s="1"/>
  <c r="N161" i="7" s="1"/>
  <c r="O161" i="7" s="1"/>
  <c r="P161" i="7" s="1"/>
  <c r="Q161" i="7" s="1"/>
  <c r="R161" i="7" s="1"/>
  <c r="S161" i="7" s="1"/>
  <c r="T161" i="7" s="1"/>
  <c r="U161" i="7" s="1"/>
  <c r="V161" i="7" s="1"/>
  <c r="W161" i="7" s="1"/>
  <c r="X161" i="7" s="1"/>
  <c r="Y161" i="7" s="1"/>
  <c r="Z161" i="7" s="1"/>
  <c r="AA161" i="7" s="1"/>
  <c r="AB161" i="7" s="1"/>
  <c r="AC161" i="7" s="1"/>
  <c r="AD161" i="7" s="1"/>
  <c r="AE161" i="7" s="1"/>
  <c r="AF161" i="7" s="1"/>
  <c r="AG161" i="7" s="1"/>
  <c r="AH161" i="7" s="1"/>
  <c r="D128" i="7"/>
  <c r="E128" i="7" s="1"/>
  <c r="F128" i="7" s="1"/>
  <c r="G128" i="7" s="1"/>
  <c r="H128" i="7" s="1"/>
  <c r="I128" i="7" s="1"/>
  <c r="J128" i="7" s="1"/>
  <c r="K128" i="7" s="1"/>
  <c r="L128" i="7" s="1"/>
  <c r="M128" i="7" s="1"/>
  <c r="N128" i="7" s="1"/>
  <c r="O128" i="7" s="1"/>
  <c r="P128" i="7" s="1"/>
  <c r="Q128" i="7" s="1"/>
  <c r="R128" i="7" s="1"/>
  <c r="S128" i="7" s="1"/>
  <c r="T128" i="7" s="1"/>
  <c r="U128" i="7" s="1"/>
  <c r="V128" i="7" s="1"/>
  <c r="W128" i="7" s="1"/>
  <c r="X128" i="7" s="1"/>
  <c r="Y128" i="7" s="1"/>
  <c r="Z128" i="7" s="1"/>
  <c r="AA128" i="7" s="1"/>
  <c r="AB128" i="7" s="1"/>
  <c r="AC128" i="7" s="1"/>
  <c r="AD128" i="7" s="1"/>
  <c r="AE128" i="7" s="1"/>
  <c r="AF128" i="7" s="1"/>
  <c r="AG128" i="7" s="1"/>
  <c r="AH128" i="7" s="1"/>
  <c r="D97" i="7"/>
  <c r="E97" i="7" s="1"/>
  <c r="F97" i="7" s="1"/>
  <c r="G97" i="7" s="1"/>
  <c r="H97" i="7" s="1"/>
  <c r="I97" i="7" s="1"/>
  <c r="J97" i="7" s="1"/>
  <c r="K97" i="7" s="1"/>
  <c r="L97" i="7" s="1"/>
  <c r="M97" i="7" s="1"/>
  <c r="N97" i="7" s="1"/>
  <c r="O97" i="7" s="1"/>
  <c r="P97" i="7" s="1"/>
  <c r="Q97" i="7" s="1"/>
  <c r="R97" i="7" s="1"/>
  <c r="S97" i="7" s="1"/>
  <c r="T97" i="7" s="1"/>
  <c r="U97" i="7" s="1"/>
  <c r="V97" i="7" s="1"/>
  <c r="W97" i="7" s="1"/>
  <c r="X97" i="7" s="1"/>
  <c r="Y97" i="7" s="1"/>
  <c r="Z97" i="7" s="1"/>
  <c r="AA97" i="7" s="1"/>
  <c r="AB97" i="7" s="1"/>
  <c r="AC97" i="7" s="1"/>
  <c r="AD97" i="7" s="1"/>
  <c r="AE97" i="7" s="1"/>
  <c r="AF97" i="7" s="1"/>
  <c r="AG97" i="7" s="1"/>
  <c r="AH97" i="7" s="1"/>
  <c r="D85" i="7"/>
  <c r="E85" i="7" s="1"/>
  <c r="F85" i="7" s="1"/>
  <c r="G85" i="7" s="1"/>
  <c r="H85" i="7" s="1"/>
  <c r="I85" i="7" s="1"/>
  <c r="J85" i="7" s="1"/>
  <c r="K85" i="7" s="1"/>
  <c r="L85" i="7" s="1"/>
  <c r="M85" i="7" s="1"/>
  <c r="N85" i="7" s="1"/>
  <c r="O85" i="7" s="1"/>
  <c r="P85" i="7" s="1"/>
  <c r="Q85" i="7" s="1"/>
  <c r="R85" i="7" s="1"/>
  <c r="S85" i="7" s="1"/>
  <c r="T85" i="7" s="1"/>
  <c r="U85" i="7" s="1"/>
  <c r="V85" i="7" s="1"/>
  <c r="W85" i="7" s="1"/>
  <c r="X85" i="7" s="1"/>
  <c r="Y85" i="7" s="1"/>
  <c r="Z85" i="7" s="1"/>
  <c r="AA85" i="7" s="1"/>
  <c r="AB85" i="7" s="1"/>
  <c r="AC85" i="7" s="1"/>
  <c r="AD85" i="7" s="1"/>
  <c r="AE85" i="7" s="1"/>
  <c r="AF85" i="7" s="1"/>
  <c r="AG85" i="7" s="1"/>
  <c r="AH85" i="7" s="1"/>
  <c r="D84" i="7"/>
  <c r="E84" i="7" s="1"/>
  <c r="F84" i="7" s="1"/>
  <c r="G84" i="7" s="1"/>
  <c r="H84" i="7" s="1"/>
  <c r="I84" i="7" s="1"/>
  <c r="J84" i="7" s="1"/>
  <c r="K84" i="7" s="1"/>
  <c r="L84" i="7" s="1"/>
  <c r="M84" i="7" s="1"/>
  <c r="N84" i="7" s="1"/>
  <c r="O84" i="7" s="1"/>
  <c r="P84" i="7" s="1"/>
  <c r="Q84" i="7" s="1"/>
  <c r="R84" i="7" s="1"/>
  <c r="S84" i="7" s="1"/>
  <c r="T84" i="7" s="1"/>
  <c r="U84" i="7" s="1"/>
  <c r="V84" i="7" s="1"/>
  <c r="W84" i="7" s="1"/>
  <c r="X84" i="7" s="1"/>
  <c r="Y84" i="7" s="1"/>
  <c r="Z84" i="7" s="1"/>
  <c r="AA84" i="7" s="1"/>
  <c r="AB84" i="7" s="1"/>
  <c r="AC84" i="7" s="1"/>
  <c r="AD84" i="7" s="1"/>
  <c r="AE84" i="7" s="1"/>
  <c r="AF84" i="7" s="1"/>
  <c r="AG84" i="7" s="1"/>
  <c r="AH84" i="7" s="1"/>
  <c r="D80" i="7"/>
  <c r="E80" i="7" s="1"/>
  <c r="F80" i="7" s="1"/>
  <c r="G80" i="7" s="1"/>
  <c r="H80" i="7" s="1"/>
  <c r="I80" i="7" s="1"/>
  <c r="J80" i="7" s="1"/>
  <c r="K80" i="7" s="1"/>
  <c r="L80" i="7" s="1"/>
  <c r="M80" i="7" s="1"/>
  <c r="N80" i="7" s="1"/>
  <c r="O80" i="7" s="1"/>
  <c r="P80" i="7" s="1"/>
  <c r="Q80" i="7" s="1"/>
  <c r="R80" i="7" s="1"/>
  <c r="S80" i="7" s="1"/>
  <c r="T80" i="7" s="1"/>
  <c r="U80" i="7" s="1"/>
  <c r="V80" i="7" s="1"/>
  <c r="W80" i="7" s="1"/>
  <c r="X80" i="7" s="1"/>
  <c r="Y80" i="7" s="1"/>
  <c r="Z80" i="7" s="1"/>
  <c r="AA80" i="7" s="1"/>
  <c r="AB80" i="7" s="1"/>
  <c r="AC80" i="7" s="1"/>
  <c r="AD80" i="7" s="1"/>
  <c r="AE80" i="7" s="1"/>
  <c r="AF80" i="7" s="1"/>
  <c r="AG80" i="7" s="1"/>
  <c r="AH80" i="7" s="1"/>
  <c r="D31" i="7"/>
  <c r="E31" i="7" s="1"/>
  <c r="F31" i="7" s="1"/>
  <c r="G31" i="7" s="1"/>
  <c r="H31" i="7" s="1"/>
  <c r="I31" i="7" s="1"/>
  <c r="J31" i="7" s="1"/>
  <c r="K31" i="7" s="1"/>
  <c r="L31" i="7" s="1"/>
  <c r="M31" i="7" s="1"/>
  <c r="N31" i="7" s="1"/>
  <c r="O31" i="7" s="1"/>
  <c r="P31" i="7" s="1"/>
  <c r="Q31" i="7" s="1"/>
  <c r="R31" i="7" s="1"/>
  <c r="S31" i="7" s="1"/>
  <c r="T31" i="7" s="1"/>
  <c r="U31" i="7" s="1"/>
  <c r="V31" i="7" s="1"/>
  <c r="W31" i="7" s="1"/>
  <c r="X31" i="7" s="1"/>
  <c r="Y31" i="7" s="1"/>
  <c r="Z31" i="7" s="1"/>
  <c r="AA31" i="7" s="1"/>
  <c r="AB31" i="7" s="1"/>
  <c r="AC31" i="7" s="1"/>
  <c r="AD31" i="7" s="1"/>
  <c r="AE31" i="7" s="1"/>
  <c r="AF31" i="7" s="1"/>
  <c r="AG31" i="7" s="1"/>
  <c r="AH31" i="7" s="1"/>
  <c r="D183" i="7"/>
  <c r="E183" i="7" s="1"/>
  <c r="F183" i="7" s="1"/>
  <c r="G183" i="7" s="1"/>
  <c r="H183" i="7" s="1"/>
  <c r="I183" i="7" s="1"/>
  <c r="J183" i="7" s="1"/>
  <c r="K183" i="7" s="1"/>
  <c r="L183" i="7" s="1"/>
  <c r="M183" i="7" s="1"/>
  <c r="N183" i="7" s="1"/>
  <c r="O183" i="7" s="1"/>
  <c r="P183" i="7" s="1"/>
  <c r="Q183" i="7" s="1"/>
  <c r="R183" i="7" s="1"/>
  <c r="S183" i="7" s="1"/>
  <c r="T183" i="7" s="1"/>
  <c r="U183" i="7" s="1"/>
  <c r="V183" i="7" s="1"/>
  <c r="W183" i="7" s="1"/>
  <c r="X183" i="7" s="1"/>
  <c r="Y183" i="7" s="1"/>
  <c r="Z183" i="7" s="1"/>
  <c r="AA183" i="7" s="1"/>
  <c r="AB183" i="7" s="1"/>
  <c r="AC183" i="7" s="1"/>
  <c r="AD183" i="7" s="1"/>
  <c r="AE183" i="7" s="1"/>
  <c r="AF183" i="7" s="1"/>
  <c r="AG183" i="7" s="1"/>
  <c r="AH183" i="7" s="1"/>
  <c r="D69" i="7"/>
  <c r="E69" i="7" s="1"/>
  <c r="F69" i="7" s="1"/>
  <c r="G69" i="7" s="1"/>
  <c r="H69" i="7" s="1"/>
  <c r="I69" i="7" s="1"/>
  <c r="J69" i="7" s="1"/>
  <c r="K69" i="7" s="1"/>
  <c r="L69" i="7" s="1"/>
  <c r="M69" i="7" s="1"/>
  <c r="N69" i="7" s="1"/>
  <c r="O69" i="7" s="1"/>
  <c r="P69" i="7" s="1"/>
  <c r="Q69" i="7" s="1"/>
  <c r="R69" i="7" s="1"/>
  <c r="S69" i="7" s="1"/>
  <c r="T69" i="7" s="1"/>
  <c r="U69" i="7" s="1"/>
  <c r="V69" i="7" s="1"/>
  <c r="W69" i="7" s="1"/>
  <c r="X69" i="7" s="1"/>
  <c r="Y69" i="7" s="1"/>
  <c r="Z69" i="7" s="1"/>
  <c r="AA69" i="7" s="1"/>
  <c r="AB69" i="7" s="1"/>
  <c r="AC69" i="7" s="1"/>
  <c r="AD69" i="7" s="1"/>
  <c r="AE69" i="7" s="1"/>
  <c r="AF69" i="7" s="1"/>
  <c r="AG69" i="7" s="1"/>
  <c r="AH69" i="7" s="1"/>
  <c r="D216" i="7"/>
  <c r="E216" i="7" s="1"/>
  <c r="F216" i="7" s="1"/>
  <c r="G216" i="7" s="1"/>
  <c r="H216" i="7" s="1"/>
  <c r="I216" i="7" s="1"/>
  <c r="J216" i="7" s="1"/>
  <c r="K216" i="7" s="1"/>
  <c r="L216" i="7" s="1"/>
  <c r="M216" i="7" s="1"/>
  <c r="N216" i="7" s="1"/>
  <c r="O216" i="7" s="1"/>
  <c r="P216" i="7" s="1"/>
  <c r="Q216" i="7" s="1"/>
  <c r="R216" i="7" s="1"/>
  <c r="S216" i="7" s="1"/>
  <c r="T216" i="7" s="1"/>
  <c r="U216" i="7" s="1"/>
  <c r="V216" i="7" s="1"/>
  <c r="W216" i="7" s="1"/>
  <c r="X216" i="7" s="1"/>
  <c r="Y216" i="7" s="1"/>
  <c r="Z216" i="7" s="1"/>
  <c r="AA216" i="7" s="1"/>
  <c r="AB216" i="7" s="1"/>
  <c r="AC216" i="7" s="1"/>
  <c r="AD216" i="7" s="1"/>
  <c r="AE216" i="7" s="1"/>
  <c r="AF216" i="7" s="1"/>
  <c r="AG216" i="7" s="1"/>
  <c r="AH216" i="7" s="1"/>
  <c r="D125" i="7"/>
  <c r="E125" i="7" s="1"/>
  <c r="F125" i="7" s="1"/>
  <c r="G125" i="7" s="1"/>
  <c r="H125" i="7" s="1"/>
  <c r="I125" i="7" s="1"/>
  <c r="J125" i="7" s="1"/>
  <c r="K125" i="7" s="1"/>
  <c r="L125" i="7" s="1"/>
  <c r="M125" i="7" s="1"/>
  <c r="N125" i="7" s="1"/>
  <c r="O125" i="7" s="1"/>
  <c r="P125" i="7" s="1"/>
  <c r="Q125" i="7" s="1"/>
  <c r="R125" i="7" s="1"/>
  <c r="S125" i="7" s="1"/>
  <c r="T125" i="7" s="1"/>
  <c r="U125" i="7" s="1"/>
  <c r="V125" i="7" s="1"/>
  <c r="W125" i="7" s="1"/>
  <c r="X125" i="7" s="1"/>
  <c r="Y125" i="7" s="1"/>
  <c r="Z125" i="7" s="1"/>
  <c r="AA125" i="7" s="1"/>
  <c r="AB125" i="7" s="1"/>
  <c r="AC125" i="7" s="1"/>
  <c r="AD125" i="7" s="1"/>
  <c r="AE125" i="7" s="1"/>
  <c r="AF125" i="7" s="1"/>
  <c r="AG125" i="7" s="1"/>
  <c r="AH125" i="7" s="1"/>
  <c r="D29" i="7"/>
  <c r="E29" i="7" s="1"/>
  <c r="F29" i="7" s="1"/>
  <c r="G29" i="7" s="1"/>
  <c r="H29" i="7" s="1"/>
  <c r="I29" i="7" s="1"/>
  <c r="J29" i="7" s="1"/>
  <c r="K29" i="7" s="1"/>
  <c r="L29" i="7" s="1"/>
  <c r="M29" i="7" s="1"/>
  <c r="N29" i="7" s="1"/>
  <c r="O29" i="7" s="1"/>
  <c r="P29" i="7" s="1"/>
  <c r="Q29" i="7" s="1"/>
  <c r="R29" i="7" s="1"/>
  <c r="S29" i="7" s="1"/>
  <c r="T29" i="7" s="1"/>
  <c r="U29" i="7" s="1"/>
  <c r="V29" i="7" s="1"/>
  <c r="W29" i="7" s="1"/>
  <c r="X29" i="7" s="1"/>
  <c r="Y29" i="7" s="1"/>
  <c r="Z29" i="7" s="1"/>
  <c r="AA29" i="7" s="1"/>
  <c r="AB29" i="7" s="1"/>
  <c r="AC29" i="7" s="1"/>
  <c r="AD29" i="7" s="1"/>
  <c r="AE29" i="7" s="1"/>
  <c r="AF29" i="7" s="1"/>
  <c r="AG29" i="7" s="1"/>
  <c r="AH29" i="7" s="1"/>
  <c r="D64" i="7"/>
  <c r="E64" i="7" s="1"/>
  <c r="F64" i="7" s="1"/>
  <c r="G64" i="7" s="1"/>
  <c r="H64" i="7" s="1"/>
  <c r="I64" i="7" s="1"/>
  <c r="J64" i="7" s="1"/>
  <c r="K64" i="7" s="1"/>
  <c r="L64" i="7" s="1"/>
  <c r="M64" i="7" s="1"/>
  <c r="N64" i="7" s="1"/>
  <c r="O64" i="7" s="1"/>
  <c r="P64" i="7" s="1"/>
  <c r="Q64" i="7" s="1"/>
  <c r="R64" i="7" s="1"/>
  <c r="S64" i="7" s="1"/>
  <c r="T64" i="7" s="1"/>
  <c r="U64" i="7" s="1"/>
  <c r="V64" i="7" s="1"/>
  <c r="W64" i="7" s="1"/>
  <c r="X64" i="7" s="1"/>
  <c r="Y64" i="7" s="1"/>
  <c r="Z64" i="7" s="1"/>
  <c r="AA64" i="7" s="1"/>
  <c r="AB64" i="7" s="1"/>
  <c r="AC64" i="7" s="1"/>
  <c r="AD64" i="7" s="1"/>
  <c r="AE64" i="7" s="1"/>
  <c r="AF64" i="7" s="1"/>
  <c r="AG64" i="7" s="1"/>
  <c r="AH64" i="7" s="1"/>
  <c r="D71" i="7"/>
  <c r="E71" i="7" s="1"/>
  <c r="F71" i="7" s="1"/>
  <c r="G71" i="7" s="1"/>
  <c r="H71" i="7" s="1"/>
  <c r="I71" i="7" s="1"/>
  <c r="J71" i="7" s="1"/>
  <c r="K71" i="7" s="1"/>
  <c r="L71" i="7" s="1"/>
  <c r="M71" i="7" s="1"/>
  <c r="N71" i="7" s="1"/>
  <c r="O71" i="7" s="1"/>
  <c r="P71" i="7" s="1"/>
  <c r="Q71" i="7" s="1"/>
  <c r="R71" i="7" s="1"/>
  <c r="S71" i="7" s="1"/>
  <c r="T71" i="7" s="1"/>
  <c r="U71" i="7" s="1"/>
  <c r="V71" i="7" s="1"/>
  <c r="W71" i="7" s="1"/>
  <c r="X71" i="7" s="1"/>
  <c r="Y71" i="7" s="1"/>
  <c r="Z71" i="7" s="1"/>
  <c r="AA71" i="7" s="1"/>
  <c r="AB71" i="7" s="1"/>
  <c r="AC71" i="7" s="1"/>
  <c r="AD71" i="7" s="1"/>
  <c r="AE71" i="7" s="1"/>
  <c r="AF71" i="7" s="1"/>
  <c r="AG71" i="7" s="1"/>
  <c r="AH71" i="7" s="1"/>
  <c r="D197" i="7"/>
  <c r="E197" i="7" s="1"/>
  <c r="F197" i="7" s="1"/>
  <c r="G197" i="7" s="1"/>
  <c r="H197" i="7" s="1"/>
  <c r="I197" i="7" s="1"/>
  <c r="J197" i="7" s="1"/>
  <c r="K197" i="7" s="1"/>
  <c r="L197" i="7" s="1"/>
  <c r="M197" i="7" s="1"/>
  <c r="N197" i="7" s="1"/>
  <c r="O197" i="7" s="1"/>
  <c r="P197" i="7" s="1"/>
  <c r="Q197" i="7" s="1"/>
  <c r="R197" i="7" s="1"/>
  <c r="S197" i="7" s="1"/>
  <c r="T197" i="7" s="1"/>
  <c r="U197" i="7" s="1"/>
  <c r="V197" i="7" s="1"/>
  <c r="W197" i="7" s="1"/>
  <c r="X197" i="7" s="1"/>
  <c r="Y197" i="7" s="1"/>
  <c r="Z197" i="7" s="1"/>
  <c r="AA197" i="7" s="1"/>
  <c r="AB197" i="7" s="1"/>
  <c r="AC197" i="7" s="1"/>
  <c r="AD197" i="7" s="1"/>
  <c r="AE197" i="7" s="1"/>
  <c r="AF197" i="7" s="1"/>
  <c r="AG197" i="7" s="1"/>
  <c r="AH197" i="7" s="1"/>
  <c r="D190" i="7"/>
  <c r="E190" i="7" s="1"/>
  <c r="F190" i="7" s="1"/>
  <c r="G190" i="7" s="1"/>
  <c r="H190" i="7" s="1"/>
  <c r="I190" i="7" s="1"/>
  <c r="J190" i="7" s="1"/>
  <c r="K190" i="7" s="1"/>
  <c r="L190" i="7" s="1"/>
  <c r="M190" i="7" s="1"/>
  <c r="N190" i="7" s="1"/>
  <c r="O190" i="7" s="1"/>
  <c r="P190" i="7" s="1"/>
  <c r="Q190" i="7" s="1"/>
  <c r="R190" i="7" s="1"/>
  <c r="S190" i="7" s="1"/>
  <c r="T190" i="7" s="1"/>
  <c r="U190" i="7" s="1"/>
  <c r="V190" i="7" s="1"/>
  <c r="W190" i="7" s="1"/>
  <c r="X190" i="7" s="1"/>
  <c r="Y190" i="7" s="1"/>
  <c r="Z190" i="7" s="1"/>
  <c r="AA190" i="7" s="1"/>
  <c r="AB190" i="7" s="1"/>
  <c r="AC190" i="7" s="1"/>
  <c r="AD190" i="7" s="1"/>
  <c r="AE190" i="7" s="1"/>
  <c r="AF190" i="7" s="1"/>
  <c r="AG190" i="7" s="1"/>
  <c r="AH190" i="7" s="1"/>
  <c r="D181" i="7"/>
  <c r="E181" i="7" s="1"/>
  <c r="F181" i="7" s="1"/>
  <c r="G181" i="7" s="1"/>
  <c r="H181" i="7" s="1"/>
  <c r="I181" i="7" s="1"/>
  <c r="J181" i="7" s="1"/>
  <c r="K181" i="7" s="1"/>
  <c r="L181" i="7" s="1"/>
  <c r="M181" i="7" s="1"/>
  <c r="N181" i="7" s="1"/>
  <c r="O181" i="7" s="1"/>
  <c r="P181" i="7" s="1"/>
  <c r="Q181" i="7" s="1"/>
  <c r="R181" i="7" s="1"/>
  <c r="S181" i="7" s="1"/>
  <c r="T181" i="7" s="1"/>
  <c r="U181" i="7" s="1"/>
  <c r="V181" i="7" s="1"/>
  <c r="W181" i="7" s="1"/>
  <c r="X181" i="7" s="1"/>
  <c r="Y181" i="7" s="1"/>
  <c r="Z181" i="7" s="1"/>
  <c r="AA181" i="7" s="1"/>
  <c r="AB181" i="7" s="1"/>
  <c r="AC181" i="7" s="1"/>
  <c r="AD181" i="7" s="1"/>
  <c r="AE181" i="7" s="1"/>
  <c r="AF181" i="7" s="1"/>
  <c r="AG181" i="7" s="1"/>
  <c r="AH181" i="7" s="1"/>
  <c r="D149" i="7"/>
  <c r="E149" i="7" s="1"/>
  <c r="F149" i="7" s="1"/>
  <c r="G149" i="7" s="1"/>
  <c r="H149" i="7" s="1"/>
  <c r="I149" i="7" s="1"/>
  <c r="J149" i="7" s="1"/>
  <c r="K149" i="7" s="1"/>
  <c r="L149" i="7" s="1"/>
  <c r="M149" i="7" s="1"/>
  <c r="N149" i="7" s="1"/>
  <c r="O149" i="7" s="1"/>
  <c r="P149" i="7" s="1"/>
  <c r="Q149" i="7" s="1"/>
  <c r="R149" i="7" s="1"/>
  <c r="S149" i="7" s="1"/>
  <c r="T149" i="7" s="1"/>
  <c r="U149" i="7" s="1"/>
  <c r="V149" i="7" s="1"/>
  <c r="W149" i="7" s="1"/>
  <c r="X149" i="7" s="1"/>
  <c r="Y149" i="7" s="1"/>
  <c r="Z149" i="7" s="1"/>
  <c r="AA149" i="7" s="1"/>
  <c r="AB149" i="7" s="1"/>
  <c r="AC149" i="7" s="1"/>
  <c r="AD149" i="7" s="1"/>
  <c r="AE149" i="7" s="1"/>
  <c r="AF149" i="7" s="1"/>
  <c r="AG149" i="7" s="1"/>
  <c r="AH149" i="7" s="1"/>
  <c r="D162" i="7"/>
  <c r="E162" i="7" s="1"/>
  <c r="F162" i="7" s="1"/>
  <c r="G162" i="7" s="1"/>
  <c r="H162" i="7" s="1"/>
  <c r="I162" i="7" s="1"/>
  <c r="J162" i="7" s="1"/>
  <c r="K162" i="7" s="1"/>
  <c r="L162" i="7" s="1"/>
  <c r="M162" i="7" s="1"/>
  <c r="N162" i="7" s="1"/>
  <c r="O162" i="7" s="1"/>
  <c r="P162" i="7" s="1"/>
  <c r="Q162" i="7" s="1"/>
  <c r="R162" i="7" s="1"/>
  <c r="S162" i="7" s="1"/>
  <c r="T162" i="7" s="1"/>
  <c r="U162" i="7" s="1"/>
  <c r="V162" i="7" s="1"/>
  <c r="W162" i="7" s="1"/>
  <c r="X162" i="7" s="1"/>
  <c r="Y162" i="7" s="1"/>
  <c r="Z162" i="7" s="1"/>
  <c r="AA162" i="7" s="1"/>
  <c r="AB162" i="7" s="1"/>
  <c r="AC162" i="7" s="1"/>
  <c r="AD162" i="7" s="1"/>
  <c r="AE162" i="7" s="1"/>
  <c r="AF162" i="7" s="1"/>
  <c r="AG162" i="7" s="1"/>
  <c r="AH162" i="7" s="1"/>
  <c r="D148" i="7"/>
  <c r="E148" i="7" s="1"/>
  <c r="F148" i="7" s="1"/>
  <c r="G148" i="7" s="1"/>
  <c r="H148" i="7" s="1"/>
  <c r="I148" i="7" s="1"/>
  <c r="J148" i="7" s="1"/>
  <c r="K148" i="7" s="1"/>
  <c r="L148" i="7" s="1"/>
  <c r="M148" i="7" s="1"/>
  <c r="N148" i="7" s="1"/>
  <c r="O148" i="7" s="1"/>
  <c r="P148" i="7" s="1"/>
  <c r="Q148" i="7" s="1"/>
  <c r="R148" i="7" s="1"/>
  <c r="S148" i="7" s="1"/>
  <c r="T148" i="7" s="1"/>
  <c r="U148" i="7" s="1"/>
  <c r="V148" i="7" s="1"/>
  <c r="W148" i="7" s="1"/>
  <c r="X148" i="7" s="1"/>
  <c r="Y148" i="7" s="1"/>
  <c r="Z148" i="7" s="1"/>
  <c r="AA148" i="7" s="1"/>
  <c r="AB148" i="7" s="1"/>
  <c r="AC148" i="7" s="1"/>
  <c r="AD148" i="7" s="1"/>
  <c r="AE148" i="7" s="1"/>
  <c r="AF148" i="7" s="1"/>
  <c r="AG148" i="7" s="1"/>
  <c r="AH148" i="7" s="1"/>
  <c r="D141" i="7"/>
  <c r="E141" i="7" s="1"/>
  <c r="F141" i="7" s="1"/>
  <c r="G141" i="7" s="1"/>
  <c r="H141" i="7" s="1"/>
  <c r="I141" i="7" s="1"/>
  <c r="J141" i="7" s="1"/>
  <c r="K141" i="7" s="1"/>
  <c r="L141" i="7" s="1"/>
  <c r="M141" i="7" s="1"/>
  <c r="N141" i="7" s="1"/>
  <c r="O141" i="7" s="1"/>
  <c r="P141" i="7" s="1"/>
  <c r="Q141" i="7" s="1"/>
  <c r="R141" i="7" s="1"/>
  <c r="S141" i="7" s="1"/>
  <c r="T141" i="7" s="1"/>
  <c r="U141" i="7" s="1"/>
  <c r="V141" i="7" s="1"/>
  <c r="W141" i="7" s="1"/>
  <c r="X141" i="7" s="1"/>
  <c r="Y141" i="7" s="1"/>
  <c r="Z141" i="7" s="1"/>
  <c r="AA141" i="7" s="1"/>
  <c r="AB141" i="7" s="1"/>
  <c r="AC141" i="7" s="1"/>
  <c r="AD141" i="7" s="1"/>
  <c r="AE141" i="7" s="1"/>
  <c r="AF141" i="7" s="1"/>
  <c r="AG141" i="7" s="1"/>
  <c r="AH141" i="7" s="1"/>
  <c r="D175" i="7"/>
  <c r="E175" i="7" s="1"/>
  <c r="F175" i="7" s="1"/>
  <c r="G175" i="7" s="1"/>
  <c r="H175" i="7" s="1"/>
  <c r="I175" i="7" s="1"/>
  <c r="J175" i="7" s="1"/>
  <c r="K175" i="7" s="1"/>
  <c r="L175" i="7" s="1"/>
  <c r="M175" i="7" s="1"/>
  <c r="N175" i="7" s="1"/>
  <c r="O175" i="7" s="1"/>
  <c r="P175" i="7" s="1"/>
  <c r="Q175" i="7" s="1"/>
  <c r="R175" i="7" s="1"/>
  <c r="S175" i="7" s="1"/>
  <c r="T175" i="7" s="1"/>
  <c r="U175" i="7" s="1"/>
  <c r="V175" i="7" s="1"/>
  <c r="W175" i="7" s="1"/>
  <c r="X175" i="7" s="1"/>
  <c r="Y175" i="7" s="1"/>
  <c r="Z175" i="7" s="1"/>
  <c r="AA175" i="7" s="1"/>
  <c r="AB175" i="7" s="1"/>
  <c r="AC175" i="7" s="1"/>
  <c r="AD175" i="7" s="1"/>
  <c r="AE175" i="7" s="1"/>
  <c r="AF175" i="7" s="1"/>
  <c r="AG175" i="7" s="1"/>
  <c r="AH175" i="7" s="1"/>
  <c r="D144" i="7"/>
  <c r="E144" i="7" s="1"/>
  <c r="F144" i="7" s="1"/>
  <c r="G144" i="7" s="1"/>
  <c r="H144" i="7" s="1"/>
  <c r="I144" i="7" s="1"/>
  <c r="J144" i="7" s="1"/>
  <c r="K144" i="7" s="1"/>
  <c r="L144" i="7" s="1"/>
  <c r="M144" i="7" s="1"/>
  <c r="N144" i="7" s="1"/>
  <c r="O144" i="7" s="1"/>
  <c r="P144" i="7" s="1"/>
  <c r="Q144" i="7" s="1"/>
  <c r="R144" i="7" s="1"/>
  <c r="S144" i="7" s="1"/>
  <c r="T144" i="7" s="1"/>
  <c r="U144" i="7" s="1"/>
  <c r="V144" i="7" s="1"/>
  <c r="W144" i="7" s="1"/>
  <c r="X144" i="7" s="1"/>
  <c r="Y144" i="7" s="1"/>
  <c r="Z144" i="7" s="1"/>
  <c r="AA144" i="7" s="1"/>
  <c r="AB144" i="7" s="1"/>
  <c r="AC144" i="7" s="1"/>
  <c r="AD144" i="7" s="1"/>
  <c r="AE144" i="7" s="1"/>
  <c r="AF144" i="7" s="1"/>
  <c r="AG144" i="7" s="1"/>
  <c r="AH144" i="7" s="1"/>
  <c r="D73" i="7"/>
  <c r="E73" i="7" s="1"/>
  <c r="F73" i="7" s="1"/>
  <c r="G73" i="7" s="1"/>
  <c r="H73" i="7" s="1"/>
  <c r="I73" i="7" s="1"/>
  <c r="J73" i="7" s="1"/>
  <c r="K73" i="7" s="1"/>
  <c r="L73" i="7" s="1"/>
  <c r="M73" i="7" s="1"/>
  <c r="N73" i="7" s="1"/>
  <c r="O73" i="7" s="1"/>
  <c r="P73" i="7" s="1"/>
  <c r="Q73" i="7" s="1"/>
  <c r="R73" i="7" s="1"/>
  <c r="S73" i="7" s="1"/>
  <c r="T73" i="7" s="1"/>
  <c r="U73" i="7" s="1"/>
  <c r="V73" i="7" s="1"/>
  <c r="W73" i="7" s="1"/>
  <c r="X73" i="7" s="1"/>
  <c r="Y73" i="7" s="1"/>
  <c r="Z73" i="7" s="1"/>
  <c r="AA73" i="7" s="1"/>
  <c r="AB73" i="7" s="1"/>
  <c r="AC73" i="7" s="1"/>
  <c r="AD73" i="7" s="1"/>
  <c r="AE73" i="7" s="1"/>
  <c r="AF73" i="7" s="1"/>
  <c r="AG73" i="7" s="1"/>
  <c r="AH73" i="7" s="1"/>
  <c r="D99" i="7"/>
  <c r="E99" i="7" s="1"/>
  <c r="F99" i="7" s="1"/>
  <c r="G99" i="7" s="1"/>
  <c r="H99" i="7" s="1"/>
  <c r="I99" i="7" s="1"/>
  <c r="J99" i="7" s="1"/>
  <c r="K99" i="7" s="1"/>
  <c r="L99" i="7" s="1"/>
  <c r="M99" i="7" s="1"/>
  <c r="N99" i="7" s="1"/>
  <c r="O99" i="7" s="1"/>
  <c r="P99" i="7" s="1"/>
  <c r="Q99" i="7" s="1"/>
  <c r="R99" i="7" s="1"/>
  <c r="S99" i="7" s="1"/>
  <c r="T99" i="7" s="1"/>
  <c r="U99" i="7" s="1"/>
  <c r="V99" i="7" s="1"/>
  <c r="W99" i="7" s="1"/>
  <c r="X99" i="7" s="1"/>
  <c r="Y99" i="7" s="1"/>
  <c r="Z99" i="7" s="1"/>
  <c r="AA99" i="7" s="1"/>
  <c r="AB99" i="7" s="1"/>
  <c r="AC99" i="7" s="1"/>
  <c r="AD99" i="7" s="1"/>
  <c r="AE99" i="7" s="1"/>
  <c r="AF99" i="7" s="1"/>
  <c r="AG99" i="7" s="1"/>
  <c r="AH99" i="7" s="1"/>
  <c r="D104" i="7"/>
  <c r="E104" i="7" s="1"/>
  <c r="F104" i="7" s="1"/>
  <c r="G104" i="7" s="1"/>
  <c r="H104" i="7" s="1"/>
  <c r="I104" i="7" s="1"/>
  <c r="J104" i="7" s="1"/>
  <c r="K104" i="7" s="1"/>
  <c r="L104" i="7" s="1"/>
  <c r="M104" i="7" s="1"/>
  <c r="N104" i="7" s="1"/>
  <c r="O104" i="7" s="1"/>
  <c r="P104" i="7" s="1"/>
  <c r="Q104" i="7" s="1"/>
  <c r="R104" i="7" s="1"/>
  <c r="S104" i="7" s="1"/>
  <c r="T104" i="7" s="1"/>
  <c r="U104" i="7" s="1"/>
  <c r="V104" i="7" s="1"/>
  <c r="W104" i="7" s="1"/>
  <c r="X104" i="7" s="1"/>
  <c r="Y104" i="7" s="1"/>
  <c r="Z104" i="7" s="1"/>
  <c r="AA104" i="7" s="1"/>
  <c r="AB104" i="7" s="1"/>
  <c r="AC104" i="7" s="1"/>
  <c r="AD104" i="7" s="1"/>
  <c r="AE104" i="7" s="1"/>
  <c r="AF104" i="7" s="1"/>
  <c r="AG104" i="7" s="1"/>
  <c r="AH104" i="7" s="1"/>
  <c r="D62" i="7"/>
  <c r="E62" i="7" s="1"/>
  <c r="F62" i="7" s="1"/>
  <c r="G62" i="7" s="1"/>
  <c r="H62" i="7" s="1"/>
  <c r="I62" i="7" s="1"/>
  <c r="J62" i="7" s="1"/>
  <c r="K62" i="7" s="1"/>
  <c r="L62" i="7" s="1"/>
  <c r="M62" i="7" s="1"/>
  <c r="N62" i="7" s="1"/>
  <c r="O62" i="7" s="1"/>
  <c r="P62" i="7" s="1"/>
  <c r="Q62" i="7" s="1"/>
  <c r="R62" i="7" s="1"/>
  <c r="S62" i="7" s="1"/>
  <c r="T62" i="7" s="1"/>
  <c r="U62" i="7" s="1"/>
  <c r="V62" i="7" s="1"/>
  <c r="W62" i="7" s="1"/>
  <c r="X62" i="7" s="1"/>
  <c r="Y62" i="7" s="1"/>
  <c r="Z62" i="7" s="1"/>
  <c r="AA62" i="7" s="1"/>
  <c r="AB62" i="7" s="1"/>
  <c r="AC62" i="7" s="1"/>
  <c r="AD62" i="7" s="1"/>
  <c r="AE62" i="7" s="1"/>
  <c r="AF62" i="7" s="1"/>
  <c r="AG62" i="7" s="1"/>
  <c r="AH62" i="7" s="1"/>
  <c r="D65" i="7"/>
  <c r="E65" i="7" s="1"/>
  <c r="F65" i="7" s="1"/>
  <c r="G65" i="7" s="1"/>
  <c r="H65" i="7" s="1"/>
  <c r="I65" i="7" s="1"/>
  <c r="J65" i="7" s="1"/>
  <c r="K65" i="7" s="1"/>
  <c r="L65" i="7" s="1"/>
  <c r="M65" i="7" s="1"/>
  <c r="N65" i="7" s="1"/>
  <c r="O65" i="7" s="1"/>
  <c r="P65" i="7" s="1"/>
  <c r="Q65" i="7" s="1"/>
  <c r="R65" i="7" s="1"/>
  <c r="S65" i="7" s="1"/>
  <c r="T65" i="7" s="1"/>
  <c r="U65" i="7" s="1"/>
  <c r="V65" i="7" s="1"/>
  <c r="W65" i="7" s="1"/>
  <c r="X65" i="7" s="1"/>
  <c r="Y65" i="7" s="1"/>
  <c r="Z65" i="7" s="1"/>
  <c r="AA65" i="7" s="1"/>
  <c r="AB65" i="7" s="1"/>
  <c r="AC65" i="7" s="1"/>
  <c r="AD65" i="7" s="1"/>
  <c r="AE65" i="7" s="1"/>
  <c r="AF65" i="7" s="1"/>
  <c r="AG65" i="7" s="1"/>
  <c r="AH65" i="7" s="1"/>
  <c r="D32" i="7"/>
  <c r="E32" i="7" s="1"/>
  <c r="F32" i="7" s="1"/>
  <c r="G32" i="7" s="1"/>
  <c r="H32" i="7" s="1"/>
  <c r="I32" i="7" s="1"/>
  <c r="J32" i="7" s="1"/>
  <c r="K32" i="7" s="1"/>
  <c r="L32" i="7" s="1"/>
  <c r="M32" i="7" s="1"/>
  <c r="N32" i="7" s="1"/>
  <c r="O32" i="7" s="1"/>
  <c r="P32" i="7" s="1"/>
  <c r="Q32" i="7" s="1"/>
  <c r="R32" i="7" s="1"/>
  <c r="S32" i="7" s="1"/>
  <c r="T32" i="7" s="1"/>
  <c r="U32" i="7" s="1"/>
  <c r="V32" i="7" s="1"/>
  <c r="W32" i="7" s="1"/>
  <c r="X32" i="7" s="1"/>
  <c r="Y32" i="7" s="1"/>
  <c r="Z32" i="7" s="1"/>
  <c r="AA32" i="7" s="1"/>
  <c r="AB32" i="7" s="1"/>
  <c r="AC32" i="7" s="1"/>
  <c r="AD32" i="7" s="1"/>
  <c r="AE32" i="7" s="1"/>
  <c r="AF32" i="7" s="1"/>
  <c r="AG32" i="7" s="1"/>
  <c r="AH32" i="7" s="1"/>
  <c r="D26" i="7"/>
  <c r="E26" i="7" s="1"/>
  <c r="F26" i="7" s="1"/>
  <c r="G26" i="7" s="1"/>
  <c r="H26" i="7" s="1"/>
  <c r="I26" i="7" s="1"/>
  <c r="J26" i="7" s="1"/>
  <c r="K26" i="7" s="1"/>
  <c r="L26" i="7" s="1"/>
  <c r="M26" i="7" s="1"/>
  <c r="N26" i="7" s="1"/>
  <c r="O26" i="7" s="1"/>
  <c r="P26" i="7" s="1"/>
  <c r="Q26" i="7" s="1"/>
  <c r="R26" i="7" s="1"/>
  <c r="S26" i="7" s="1"/>
  <c r="T26" i="7" s="1"/>
  <c r="U26" i="7" s="1"/>
  <c r="V26" i="7" s="1"/>
  <c r="W26" i="7" s="1"/>
  <c r="X26" i="7" s="1"/>
  <c r="Y26" i="7" s="1"/>
  <c r="Z26" i="7" s="1"/>
  <c r="AA26" i="7" s="1"/>
  <c r="AB26" i="7" s="1"/>
  <c r="AC26" i="7" s="1"/>
  <c r="AD26" i="7" s="1"/>
  <c r="AE26" i="7" s="1"/>
  <c r="AF26" i="7" s="1"/>
  <c r="AG26" i="7" s="1"/>
  <c r="AH26" i="7" s="1"/>
  <c r="D205" i="7"/>
  <c r="E205" i="7" s="1"/>
  <c r="F205" i="7" s="1"/>
  <c r="G205" i="7" s="1"/>
  <c r="H205" i="7" s="1"/>
  <c r="I205" i="7" s="1"/>
  <c r="J205" i="7" s="1"/>
  <c r="K205" i="7" s="1"/>
  <c r="L205" i="7" s="1"/>
  <c r="M205" i="7" s="1"/>
  <c r="N205" i="7" s="1"/>
  <c r="O205" i="7" s="1"/>
  <c r="P205" i="7" s="1"/>
  <c r="Q205" i="7" s="1"/>
  <c r="R205" i="7" s="1"/>
  <c r="S205" i="7" s="1"/>
  <c r="T205" i="7" s="1"/>
  <c r="U205" i="7" s="1"/>
  <c r="V205" i="7" s="1"/>
  <c r="W205" i="7" s="1"/>
  <c r="X205" i="7" s="1"/>
  <c r="Y205" i="7" s="1"/>
  <c r="Z205" i="7" s="1"/>
  <c r="AA205" i="7" s="1"/>
  <c r="AB205" i="7" s="1"/>
  <c r="AC205" i="7" s="1"/>
  <c r="AD205" i="7" s="1"/>
  <c r="AE205" i="7" s="1"/>
  <c r="AF205" i="7" s="1"/>
  <c r="AG205" i="7" s="1"/>
  <c r="AH205" i="7" s="1"/>
  <c r="D180" i="7"/>
  <c r="E180" i="7" s="1"/>
  <c r="F180" i="7" s="1"/>
  <c r="G180" i="7" s="1"/>
  <c r="H180" i="7" s="1"/>
  <c r="I180" i="7" s="1"/>
  <c r="J180" i="7" s="1"/>
  <c r="K180" i="7" s="1"/>
  <c r="L180" i="7" s="1"/>
  <c r="M180" i="7" s="1"/>
  <c r="N180" i="7" s="1"/>
  <c r="O180" i="7" s="1"/>
  <c r="P180" i="7" s="1"/>
  <c r="Q180" i="7" s="1"/>
  <c r="R180" i="7" s="1"/>
  <c r="S180" i="7" s="1"/>
  <c r="T180" i="7" s="1"/>
  <c r="U180" i="7" s="1"/>
  <c r="V180" i="7" s="1"/>
  <c r="W180" i="7" s="1"/>
  <c r="X180" i="7" s="1"/>
  <c r="Y180" i="7" s="1"/>
  <c r="Z180" i="7" s="1"/>
  <c r="AA180" i="7" s="1"/>
  <c r="AB180" i="7" s="1"/>
  <c r="AC180" i="7" s="1"/>
  <c r="AD180" i="7" s="1"/>
  <c r="AE180" i="7" s="1"/>
  <c r="AF180" i="7" s="1"/>
  <c r="AG180" i="7" s="1"/>
  <c r="AH180" i="7" s="1"/>
  <c r="D196" i="7"/>
  <c r="E196" i="7" s="1"/>
  <c r="F196" i="7" s="1"/>
  <c r="G196" i="7" s="1"/>
  <c r="H196" i="7" s="1"/>
  <c r="I196" i="7" s="1"/>
  <c r="J196" i="7" s="1"/>
  <c r="K196" i="7" s="1"/>
  <c r="L196" i="7" s="1"/>
  <c r="M196" i="7" s="1"/>
  <c r="N196" i="7" s="1"/>
  <c r="O196" i="7" s="1"/>
  <c r="P196" i="7" s="1"/>
  <c r="Q196" i="7" s="1"/>
  <c r="R196" i="7" s="1"/>
  <c r="S196" i="7" s="1"/>
  <c r="T196" i="7" s="1"/>
  <c r="U196" i="7" s="1"/>
  <c r="V196" i="7" s="1"/>
  <c r="W196" i="7" s="1"/>
  <c r="X196" i="7" s="1"/>
  <c r="Y196" i="7" s="1"/>
  <c r="Z196" i="7" s="1"/>
  <c r="AA196" i="7" s="1"/>
  <c r="AB196" i="7" s="1"/>
  <c r="AC196" i="7" s="1"/>
  <c r="AD196" i="7" s="1"/>
  <c r="AE196" i="7" s="1"/>
  <c r="AF196" i="7" s="1"/>
  <c r="AG196" i="7" s="1"/>
  <c r="AH196" i="7" s="1"/>
  <c r="D167" i="7"/>
  <c r="E167" i="7" s="1"/>
  <c r="F167" i="7" s="1"/>
  <c r="G167" i="7" s="1"/>
  <c r="H167" i="7" s="1"/>
  <c r="I167" i="7" s="1"/>
  <c r="J167" i="7" s="1"/>
  <c r="K167" i="7" s="1"/>
  <c r="L167" i="7" s="1"/>
  <c r="M167" i="7" s="1"/>
  <c r="N167" i="7" s="1"/>
  <c r="O167" i="7" s="1"/>
  <c r="P167" i="7" s="1"/>
  <c r="Q167" i="7" s="1"/>
  <c r="R167" i="7" s="1"/>
  <c r="S167" i="7" s="1"/>
  <c r="T167" i="7" s="1"/>
  <c r="U167" i="7" s="1"/>
  <c r="V167" i="7" s="1"/>
  <c r="W167" i="7" s="1"/>
  <c r="X167" i="7" s="1"/>
  <c r="Y167" i="7" s="1"/>
  <c r="Z167" i="7" s="1"/>
  <c r="AA167" i="7" s="1"/>
  <c r="AB167" i="7" s="1"/>
  <c r="AC167" i="7" s="1"/>
  <c r="AD167" i="7" s="1"/>
  <c r="AE167" i="7" s="1"/>
  <c r="AF167" i="7" s="1"/>
  <c r="AG167" i="7" s="1"/>
  <c r="AH167" i="7" s="1"/>
  <c r="D145" i="7"/>
  <c r="E145" i="7" s="1"/>
  <c r="F145" i="7" s="1"/>
  <c r="G145" i="7" s="1"/>
  <c r="H145" i="7" s="1"/>
  <c r="I145" i="7" s="1"/>
  <c r="J145" i="7" s="1"/>
  <c r="K145" i="7" s="1"/>
  <c r="L145" i="7" s="1"/>
  <c r="M145" i="7" s="1"/>
  <c r="N145" i="7" s="1"/>
  <c r="O145" i="7" s="1"/>
  <c r="P145" i="7" s="1"/>
  <c r="Q145" i="7" s="1"/>
  <c r="R145" i="7" s="1"/>
  <c r="S145" i="7" s="1"/>
  <c r="T145" i="7" s="1"/>
  <c r="U145" i="7" s="1"/>
  <c r="V145" i="7" s="1"/>
  <c r="W145" i="7" s="1"/>
  <c r="X145" i="7" s="1"/>
  <c r="Y145" i="7" s="1"/>
  <c r="Z145" i="7" s="1"/>
  <c r="AA145" i="7" s="1"/>
  <c r="AB145" i="7" s="1"/>
  <c r="AC145" i="7" s="1"/>
  <c r="AD145" i="7" s="1"/>
  <c r="AE145" i="7" s="1"/>
  <c r="AF145" i="7" s="1"/>
  <c r="AG145" i="7" s="1"/>
  <c r="AH145" i="7" s="1"/>
  <c r="D129" i="7"/>
  <c r="E129" i="7" s="1"/>
  <c r="F129" i="7" s="1"/>
  <c r="G129" i="7" s="1"/>
  <c r="H129" i="7" s="1"/>
  <c r="I129" i="7" s="1"/>
  <c r="J129" i="7" s="1"/>
  <c r="K129" i="7" s="1"/>
  <c r="L129" i="7" s="1"/>
  <c r="M129" i="7" s="1"/>
  <c r="N129" i="7" s="1"/>
  <c r="O129" i="7" s="1"/>
  <c r="P129" i="7" s="1"/>
  <c r="Q129" i="7" s="1"/>
  <c r="R129" i="7" s="1"/>
  <c r="S129" i="7" s="1"/>
  <c r="T129" i="7" s="1"/>
  <c r="U129" i="7" s="1"/>
  <c r="V129" i="7" s="1"/>
  <c r="W129" i="7" s="1"/>
  <c r="X129" i="7" s="1"/>
  <c r="Y129" i="7" s="1"/>
  <c r="Z129" i="7" s="1"/>
  <c r="AA129" i="7" s="1"/>
  <c r="AB129" i="7" s="1"/>
  <c r="AC129" i="7" s="1"/>
  <c r="AD129" i="7" s="1"/>
  <c r="AE129" i="7" s="1"/>
  <c r="AF129" i="7" s="1"/>
  <c r="AG129" i="7" s="1"/>
  <c r="AH129" i="7" s="1"/>
  <c r="D114" i="7"/>
  <c r="E114" i="7" s="1"/>
  <c r="F114" i="7" s="1"/>
  <c r="G114" i="7" s="1"/>
  <c r="H114" i="7" s="1"/>
  <c r="I114" i="7" s="1"/>
  <c r="J114" i="7" s="1"/>
  <c r="K114" i="7" s="1"/>
  <c r="L114" i="7" s="1"/>
  <c r="M114" i="7" s="1"/>
  <c r="N114" i="7" s="1"/>
  <c r="O114" i="7" s="1"/>
  <c r="P114" i="7" s="1"/>
  <c r="Q114" i="7" s="1"/>
  <c r="R114" i="7" s="1"/>
  <c r="S114" i="7" s="1"/>
  <c r="T114" i="7" s="1"/>
  <c r="U114" i="7" s="1"/>
  <c r="V114" i="7" s="1"/>
  <c r="W114" i="7" s="1"/>
  <c r="X114" i="7" s="1"/>
  <c r="Y114" i="7" s="1"/>
  <c r="Z114" i="7" s="1"/>
  <c r="AA114" i="7" s="1"/>
  <c r="AB114" i="7" s="1"/>
  <c r="AC114" i="7" s="1"/>
  <c r="AD114" i="7" s="1"/>
  <c r="AE114" i="7" s="1"/>
  <c r="AF114" i="7" s="1"/>
  <c r="AG114" i="7" s="1"/>
  <c r="AH114" i="7" s="1"/>
  <c r="D61" i="7"/>
  <c r="E61" i="7" s="1"/>
  <c r="F61" i="7" s="1"/>
  <c r="G61" i="7" s="1"/>
  <c r="H61" i="7" s="1"/>
  <c r="I61" i="7" s="1"/>
  <c r="J61" i="7" s="1"/>
  <c r="K61" i="7" s="1"/>
  <c r="L61" i="7" s="1"/>
  <c r="M61" i="7" s="1"/>
  <c r="N61" i="7" s="1"/>
  <c r="O61" i="7" s="1"/>
  <c r="P61" i="7" s="1"/>
  <c r="Q61" i="7" s="1"/>
  <c r="R61" i="7" s="1"/>
  <c r="S61" i="7" s="1"/>
  <c r="T61" i="7" s="1"/>
  <c r="U61" i="7" s="1"/>
  <c r="V61" i="7" s="1"/>
  <c r="W61" i="7" s="1"/>
  <c r="X61" i="7" s="1"/>
  <c r="Y61" i="7" s="1"/>
  <c r="Z61" i="7" s="1"/>
  <c r="AA61" i="7" s="1"/>
  <c r="AB61" i="7" s="1"/>
  <c r="AC61" i="7" s="1"/>
  <c r="AD61" i="7" s="1"/>
  <c r="AE61" i="7" s="1"/>
  <c r="AF61" i="7" s="1"/>
  <c r="AG61" i="7" s="1"/>
  <c r="AH61" i="7" s="1"/>
  <c r="D81" i="7"/>
  <c r="E81" i="7" s="1"/>
  <c r="F81" i="7" s="1"/>
  <c r="G81" i="7" s="1"/>
  <c r="H81" i="7" s="1"/>
  <c r="I81" i="7" s="1"/>
  <c r="J81" i="7" s="1"/>
  <c r="K81" i="7" s="1"/>
  <c r="L81" i="7" s="1"/>
  <c r="M81" i="7" s="1"/>
  <c r="N81" i="7" s="1"/>
  <c r="O81" i="7" s="1"/>
  <c r="P81" i="7" s="1"/>
  <c r="Q81" i="7" s="1"/>
  <c r="R81" i="7" s="1"/>
  <c r="S81" i="7" s="1"/>
  <c r="T81" i="7" s="1"/>
  <c r="U81" i="7" s="1"/>
  <c r="V81" i="7" s="1"/>
  <c r="W81" i="7" s="1"/>
  <c r="X81" i="7" s="1"/>
  <c r="Y81" i="7" s="1"/>
  <c r="Z81" i="7" s="1"/>
  <c r="AA81" i="7" s="1"/>
  <c r="AB81" i="7" s="1"/>
  <c r="AC81" i="7" s="1"/>
  <c r="AD81" i="7" s="1"/>
  <c r="AE81" i="7" s="1"/>
  <c r="AF81" i="7" s="1"/>
  <c r="AG81" i="7" s="1"/>
  <c r="AH81" i="7" s="1"/>
  <c r="D93" i="7"/>
  <c r="E93" i="7" s="1"/>
  <c r="F93" i="7" s="1"/>
  <c r="G93" i="7" s="1"/>
  <c r="H93" i="7" s="1"/>
  <c r="I93" i="7" s="1"/>
  <c r="J93" i="7" s="1"/>
  <c r="K93" i="7" s="1"/>
  <c r="L93" i="7" s="1"/>
  <c r="M93" i="7" s="1"/>
  <c r="N93" i="7" s="1"/>
  <c r="O93" i="7" s="1"/>
  <c r="P93" i="7" s="1"/>
  <c r="Q93" i="7" s="1"/>
  <c r="R93" i="7" s="1"/>
  <c r="S93" i="7" s="1"/>
  <c r="T93" i="7" s="1"/>
  <c r="U93" i="7" s="1"/>
  <c r="V93" i="7" s="1"/>
  <c r="W93" i="7" s="1"/>
  <c r="X93" i="7" s="1"/>
  <c r="Y93" i="7" s="1"/>
  <c r="Z93" i="7" s="1"/>
  <c r="AA93" i="7" s="1"/>
  <c r="AB93" i="7" s="1"/>
  <c r="AC93" i="7" s="1"/>
  <c r="AD93" i="7" s="1"/>
  <c r="AE93" i="7" s="1"/>
  <c r="AF93" i="7" s="1"/>
  <c r="AG93" i="7" s="1"/>
  <c r="AH93" i="7" s="1"/>
  <c r="D51" i="7"/>
  <c r="E51" i="7" s="1"/>
  <c r="F51" i="7" s="1"/>
  <c r="G51" i="7" s="1"/>
  <c r="H51" i="7" s="1"/>
  <c r="I51" i="7" s="1"/>
  <c r="J51" i="7" s="1"/>
  <c r="K51" i="7" s="1"/>
  <c r="L51" i="7" s="1"/>
  <c r="M51" i="7" s="1"/>
  <c r="N51" i="7" s="1"/>
  <c r="O51" i="7" s="1"/>
  <c r="P51" i="7" s="1"/>
  <c r="Q51" i="7" s="1"/>
  <c r="R51" i="7" s="1"/>
  <c r="S51" i="7" s="1"/>
  <c r="T51" i="7" s="1"/>
  <c r="U51" i="7" s="1"/>
  <c r="V51" i="7" s="1"/>
  <c r="W51" i="7" s="1"/>
  <c r="X51" i="7" s="1"/>
  <c r="Y51" i="7" s="1"/>
  <c r="Z51" i="7" s="1"/>
  <c r="AA51" i="7" s="1"/>
  <c r="AB51" i="7" s="1"/>
  <c r="AC51" i="7" s="1"/>
  <c r="AD51" i="7" s="1"/>
  <c r="AE51" i="7" s="1"/>
  <c r="AF51" i="7" s="1"/>
  <c r="AG51" i="7" s="1"/>
  <c r="AH51" i="7" s="1"/>
  <c r="D54" i="7"/>
  <c r="E54" i="7" s="1"/>
  <c r="F54" i="7" s="1"/>
  <c r="G54" i="7" s="1"/>
  <c r="H54" i="7" s="1"/>
  <c r="I54" i="7" s="1"/>
  <c r="J54" i="7" s="1"/>
  <c r="K54" i="7" s="1"/>
  <c r="L54" i="7" s="1"/>
  <c r="M54" i="7" s="1"/>
  <c r="N54" i="7" s="1"/>
  <c r="O54" i="7" s="1"/>
  <c r="P54" i="7" s="1"/>
  <c r="Q54" i="7" s="1"/>
  <c r="R54" i="7" s="1"/>
  <c r="S54" i="7" s="1"/>
  <c r="T54" i="7" s="1"/>
  <c r="U54" i="7" s="1"/>
  <c r="V54" i="7" s="1"/>
  <c r="W54" i="7" s="1"/>
  <c r="X54" i="7" s="1"/>
  <c r="Y54" i="7" s="1"/>
  <c r="Z54" i="7" s="1"/>
  <c r="AA54" i="7" s="1"/>
  <c r="AB54" i="7" s="1"/>
  <c r="AC54" i="7" s="1"/>
  <c r="AD54" i="7" s="1"/>
  <c r="AE54" i="7" s="1"/>
  <c r="AF54" i="7" s="1"/>
  <c r="AG54" i="7" s="1"/>
  <c r="AH54" i="7" s="1"/>
  <c r="D27" i="7"/>
  <c r="E27" i="7" s="1"/>
  <c r="F27" i="7" s="1"/>
  <c r="G27" i="7" s="1"/>
  <c r="H27" i="7" s="1"/>
  <c r="I27" i="7" s="1"/>
  <c r="J27" i="7" s="1"/>
  <c r="K27" i="7" s="1"/>
  <c r="L27" i="7" s="1"/>
  <c r="M27" i="7" s="1"/>
  <c r="N27" i="7" s="1"/>
  <c r="O27" i="7" s="1"/>
  <c r="P27" i="7" s="1"/>
  <c r="Q27" i="7" s="1"/>
  <c r="R27" i="7" s="1"/>
  <c r="S27" i="7" s="1"/>
  <c r="T27" i="7" s="1"/>
  <c r="U27" i="7" s="1"/>
  <c r="V27" i="7" s="1"/>
  <c r="W27" i="7" s="1"/>
  <c r="X27" i="7" s="1"/>
  <c r="Y27" i="7" s="1"/>
  <c r="Z27" i="7" s="1"/>
  <c r="AA27" i="7" s="1"/>
  <c r="AB27" i="7" s="1"/>
  <c r="AC27" i="7" s="1"/>
  <c r="AD27" i="7" s="1"/>
  <c r="AE27" i="7" s="1"/>
  <c r="AF27" i="7" s="1"/>
  <c r="AG27" i="7" s="1"/>
  <c r="AH27" i="7" s="1"/>
  <c r="D48" i="7"/>
  <c r="E48" i="7" s="1"/>
  <c r="F48" i="7" s="1"/>
  <c r="G48" i="7" s="1"/>
  <c r="H48" i="7" s="1"/>
  <c r="I48" i="7" s="1"/>
  <c r="J48" i="7" s="1"/>
  <c r="K48" i="7" s="1"/>
  <c r="L48" i="7" s="1"/>
  <c r="M48" i="7" s="1"/>
  <c r="N48" i="7" s="1"/>
  <c r="O48" i="7" s="1"/>
  <c r="P48" i="7" s="1"/>
  <c r="Q48" i="7" s="1"/>
  <c r="R48" i="7" s="1"/>
  <c r="S48" i="7" s="1"/>
  <c r="T48" i="7" s="1"/>
  <c r="U48" i="7" s="1"/>
  <c r="V48" i="7" s="1"/>
  <c r="W48" i="7" s="1"/>
  <c r="X48" i="7" s="1"/>
  <c r="Y48" i="7" s="1"/>
  <c r="Z48" i="7" s="1"/>
  <c r="AA48" i="7" s="1"/>
  <c r="AB48" i="7" s="1"/>
  <c r="AC48" i="7" s="1"/>
  <c r="AD48" i="7" s="1"/>
  <c r="AE48" i="7" s="1"/>
  <c r="AF48" i="7" s="1"/>
  <c r="AG48" i="7" s="1"/>
  <c r="AH48" i="7" s="1"/>
  <c r="D37" i="7"/>
  <c r="E37" i="7" s="1"/>
  <c r="F37" i="7" s="1"/>
  <c r="G37" i="7" s="1"/>
  <c r="H37" i="7" s="1"/>
  <c r="I37" i="7" s="1"/>
  <c r="J37" i="7" s="1"/>
  <c r="K37" i="7" s="1"/>
  <c r="L37" i="7" s="1"/>
  <c r="M37" i="7" s="1"/>
  <c r="N37" i="7" s="1"/>
  <c r="O37" i="7" s="1"/>
  <c r="P37" i="7" s="1"/>
  <c r="Q37" i="7" s="1"/>
  <c r="R37" i="7" s="1"/>
  <c r="S37" i="7" s="1"/>
  <c r="T37" i="7" s="1"/>
  <c r="U37" i="7" s="1"/>
  <c r="V37" i="7" s="1"/>
  <c r="W37" i="7" s="1"/>
  <c r="X37" i="7" s="1"/>
  <c r="Y37" i="7" s="1"/>
  <c r="Z37" i="7" s="1"/>
  <c r="AA37" i="7" s="1"/>
  <c r="AB37" i="7" s="1"/>
  <c r="AC37" i="7" s="1"/>
  <c r="AD37" i="7" s="1"/>
  <c r="AE37" i="7" s="1"/>
  <c r="AF37" i="7" s="1"/>
  <c r="AG37" i="7" s="1"/>
  <c r="AH37" i="7" s="1"/>
  <c r="D206" i="7"/>
  <c r="E206" i="7" s="1"/>
  <c r="F206" i="7" s="1"/>
  <c r="G206" i="7" s="1"/>
  <c r="H206" i="7" s="1"/>
  <c r="I206" i="7" s="1"/>
  <c r="J206" i="7" s="1"/>
  <c r="K206" i="7" s="1"/>
  <c r="L206" i="7" s="1"/>
  <c r="M206" i="7" s="1"/>
  <c r="N206" i="7" s="1"/>
  <c r="O206" i="7" s="1"/>
  <c r="P206" i="7" s="1"/>
  <c r="Q206" i="7" s="1"/>
  <c r="R206" i="7" s="1"/>
  <c r="S206" i="7" s="1"/>
  <c r="T206" i="7" s="1"/>
  <c r="U206" i="7" s="1"/>
  <c r="V206" i="7" s="1"/>
  <c r="W206" i="7" s="1"/>
  <c r="X206" i="7" s="1"/>
  <c r="Y206" i="7" s="1"/>
  <c r="Z206" i="7" s="1"/>
  <c r="AA206" i="7" s="1"/>
  <c r="AB206" i="7" s="1"/>
  <c r="AC206" i="7" s="1"/>
  <c r="AD206" i="7" s="1"/>
  <c r="AE206" i="7" s="1"/>
  <c r="AF206" i="7" s="1"/>
  <c r="AG206" i="7" s="1"/>
  <c r="AH206" i="7" s="1"/>
  <c r="D184" i="7"/>
  <c r="E184" i="7" s="1"/>
  <c r="F184" i="7" s="1"/>
  <c r="G184" i="7" s="1"/>
  <c r="H184" i="7" s="1"/>
  <c r="I184" i="7" s="1"/>
  <c r="J184" i="7" s="1"/>
  <c r="K184" i="7" s="1"/>
  <c r="L184" i="7" s="1"/>
  <c r="M184" i="7" s="1"/>
  <c r="N184" i="7" s="1"/>
  <c r="O184" i="7" s="1"/>
  <c r="P184" i="7" s="1"/>
  <c r="Q184" i="7" s="1"/>
  <c r="R184" i="7" s="1"/>
  <c r="S184" i="7" s="1"/>
  <c r="T184" i="7" s="1"/>
  <c r="U184" i="7" s="1"/>
  <c r="V184" i="7" s="1"/>
  <c r="W184" i="7" s="1"/>
  <c r="X184" i="7" s="1"/>
  <c r="Y184" i="7" s="1"/>
  <c r="Z184" i="7" s="1"/>
  <c r="AA184" i="7" s="1"/>
  <c r="AB184" i="7" s="1"/>
  <c r="AC184" i="7" s="1"/>
  <c r="AD184" i="7" s="1"/>
  <c r="AE184" i="7" s="1"/>
  <c r="AF184" i="7" s="1"/>
  <c r="AG184" i="7" s="1"/>
  <c r="AH184" i="7" s="1"/>
  <c r="D155" i="7"/>
  <c r="E155" i="7" s="1"/>
  <c r="F155" i="7" s="1"/>
  <c r="G155" i="7" s="1"/>
  <c r="H155" i="7" s="1"/>
  <c r="I155" i="7" s="1"/>
  <c r="J155" i="7" s="1"/>
  <c r="K155" i="7" s="1"/>
  <c r="L155" i="7" s="1"/>
  <c r="M155" i="7" s="1"/>
  <c r="N155" i="7" s="1"/>
  <c r="O155" i="7" s="1"/>
  <c r="P155" i="7" s="1"/>
  <c r="Q155" i="7" s="1"/>
  <c r="R155" i="7" s="1"/>
  <c r="S155" i="7" s="1"/>
  <c r="T155" i="7" s="1"/>
  <c r="U155" i="7" s="1"/>
  <c r="V155" i="7" s="1"/>
  <c r="W155" i="7" s="1"/>
  <c r="X155" i="7" s="1"/>
  <c r="Y155" i="7" s="1"/>
  <c r="Z155" i="7" s="1"/>
  <c r="AA155" i="7" s="1"/>
  <c r="AB155" i="7" s="1"/>
  <c r="AC155" i="7" s="1"/>
  <c r="AD155" i="7" s="1"/>
  <c r="AE155" i="7" s="1"/>
  <c r="AF155" i="7" s="1"/>
  <c r="AG155" i="7" s="1"/>
  <c r="AH155" i="7" s="1"/>
  <c r="D102" i="7"/>
  <c r="E102" i="7" s="1"/>
  <c r="F102" i="7" s="1"/>
  <c r="G102" i="7" s="1"/>
  <c r="H102" i="7" s="1"/>
  <c r="I102" i="7" s="1"/>
  <c r="J102" i="7" s="1"/>
  <c r="K102" i="7" s="1"/>
  <c r="L102" i="7" s="1"/>
  <c r="M102" i="7" s="1"/>
  <c r="N102" i="7" s="1"/>
  <c r="O102" i="7" s="1"/>
  <c r="P102" i="7" s="1"/>
  <c r="Q102" i="7" s="1"/>
  <c r="R102" i="7" s="1"/>
  <c r="S102" i="7" s="1"/>
  <c r="T102" i="7" s="1"/>
  <c r="U102" i="7" s="1"/>
  <c r="V102" i="7" s="1"/>
  <c r="W102" i="7" s="1"/>
  <c r="X102" i="7" s="1"/>
  <c r="Y102" i="7" s="1"/>
  <c r="Z102" i="7" s="1"/>
  <c r="AA102" i="7" s="1"/>
  <c r="AB102" i="7" s="1"/>
  <c r="AC102" i="7" s="1"/>
  <c r="AD102" i="7" s="1"/>
  <c r="AE102" i="7" s="1"/>
  <c r="AF102" i="7" s="1"/>
  <c r="AG102" i="7" s="1"/>
  <c r="AH102" i="7" s="1"/>
  <c r="D113" i="7"/>
  <c r="E113" i="7" s="1"/>
  <c r="F113" i="7" s="1"/>
  <c r="G113" i="7" s="1"/>
  <c r="H113" i="7" s="1"/>
  <c r="I113" i="7" s="1"/>
  <c r="J113" i="7" s="1"/>
  <c r="K113" i="7" s="1"/>
  <c r="L113" i="7" s="1"/>
  <c r="M113" i="7" s="1"/>
  <c r="N113" i="7" s="1"/>
  <c r="O113" i="7" s="1"/>
  <c r="P113" i="7" s="1"/>
  <c r="Q113" i="7" s="1"/>
  <c r="R113" i="7" s="1"/>
  <c r="S113" i="7" s="1"/>
  <c r="T113" i="7" s="1"/>
  <c r="U113" i="7" s="1"/>
  <c r="V113" i="7" s="1"/>
  <c r="W113" i="7" s="1"/>
  <c r="X113" i="7" s="1"/>
  <c r="Y113" i="7" s="1"/>
  <c r="Z113" i="7" s="1"/>
  <c r="AA113" i="7" s="1"/>
  <c r="AB113" i="7" s="1"/>
  <c r="AC113" i="7" s="1"/>
  <c r="AD113" i="7" s="1"/>
  <c r="AE113" i="7" s="1"/>
  <c r="AF113" i="7" s="1"/>
  <c r="AG113" i="7" s="1"/>
  <c r="AH113" i="7" s="1"/>
  <c r="D39" i="7"/>
  <c r="E39" i="7" s="1"/>
  <c r="F39" i="7" s="1"/>
  <c r="G39" i="7" s="1"/>
  <c r="H39" i="7" s="1"/>
  <c r="I39" i="7" s="1"/>
  <c r="J39" i="7" s="1"/>
  <c r="K39" i="7" s="1"/>
  <c r="L39" i="7" s="1"/>
  <c r="M39" i="7" s="1"/>
  <c r="N39" i="7" s="1"/>
  <c r="O39" i="7" s="1"/>
  <c r="P39" i="7" s="1"/>
  <c r="Q39" i="7" s="1"/>
  <c r="R39" i="7" s="1"/>
  <c r="S39" i="7" s="1"/>
  <c r="T39" i="7" s="1"/>
  <c r="U39" i="7" s="1"/>
  <c r="V39" i="7" s="1"/>
  <c r="W39" i="7" s="1"/>
  <c r="X39" i="7" s="1"/>
  <c r="Y39" i="7" s="1"/>
  <c r="Z39" i="7" s="1"/>
  <c r="AA39" i="7" s="1"/>
  <c r="AB39" i="7" s="1"/>
  <c r="AC39" i="7" s="1"/>
  <c r="AD39" i="7" s="1"/>
  <c r="AE39" i="7" s="1"/>
  <c r="AF39" i="7" s="1"/>
  <c r="AG39" i="7" s="1"/>
  <c r="AH39" i="7" s="1"/>
  <c r="D200" i="7"/>
  <c r="E200" i="7" s="1"/>
  <c r="F200" i="7" s="1"/>
  <c r="G200" i="7" s="1"/>
  <c r="H200" i="7" s="1"/>
  <c r="I200" i="7" s="1"/>
  <c r="J200" i="7" s="1"/>
  <c r="K200" i="7" s="1"/>
  <c r="L200" i="7" s="1"/>
  <c r="M200" i="7" s="1"/>
  <c r="N200" i="7" s="1"/>
  <c r="O200" i="7" s="1"/>
  <c r="P200" i="7" s="1"/>
  <c r="Q200" i="7" s="1"/>
  <c r="R200" i="7" s="1"/>
  <c r="S200" i="7" s="1"/>
  <c r="T200" i="7" s="1"/>
  <c r="U200" i="7" s="1"/>
  <c r="V200" i="7" s="1"/>
  <c r="W200" i="7" s="1"/>
  <c r="X200" i="7" s="1"/>
  <c r="Y200" i="7" s="1"/>
  <c r="Z200" i="7" s="1"/>
  <c r="AA200" i="7" s="1"/>
  <c r="AB200" i="7" s="1"/>
  <c r="AC200" i="7" s="1"/>
  <c r="AD200" i="7" s="1"/>
  <c r="AE200" i="7" s="1"/>
  <c r="AF200" i="7" s="1"/>
  <c r="AG200" i="7" s="1"/>
  <c r="AH200" i="7" s="1"/>
  <c r="D138" i="7"/>
  <c r="E138" i="7" s="1"/>
  <c r="F138" i="7" s="1"/>
  <c r="G138" i="7" s="1"/>
  <c r="H138" i="7" s="1"/>
  <c r="I138" i="7" s="1"/>
  <c r="J138" i="7" s="1"/>
  <c r="K138" i="7" s="1"/>
  <c r="L138" i="7" s="1"/>
  <c r="M138" i="7" s="1"/>
  <c r="N138" i="7" s="1"/>
  <c r="O138" i="7" s="1"/>
  <c r="P138" i="7" s="1"/>
  <c r="Q138" i="7" s="1"/>
  <c r="R138" i="7" s="1"/>
  <c r="S138" i="7" s="1"/>
  <c r="T138" i="7" s="1"/>
  <c r="U138" i="7" s="1"/>
  <c r="V138" i="7" s="1"/>
  <c r="W138" i="7" s="1"/>
  <c r="X138" i="7" s="1"/>
  <c r="Y138" i="7" s="1"/>
  <c r="Z138" i="7" s="1"/>
  <c r="AA138" i="7" s="1"/>
  <c r="AB138" i="7" s="1"/>
  <c r="AC138" i="7" s="1"/>
  <c r="AD138" i="7" s="1"/>
  <c r="AE138" i="7" s="1"/>
  <c r="AF138" i="7" s="1"/>
  <c r="AG138" i="7" s="1"/>
  <c r="AH138" i="7" s="1"/>
  <c r="D98" i="7"/>
  <c r="E98" i="7" s="1"/>
  <c r="F98" i="7" s="1"/>
  <c r="G98" i="7" s="1"/>
  <c r="H98" i="7" s="1"/>
  <c r="I98" i="7" s="1"/>
  <c r="J98" i="7" s="1"/>
  <c r="K98" i="7" s="1"/>
  <c r="L98" i="7" s="1"/>
  <c r="M98" i="7" s="1"/>
  <c r="N98" i="7" s="1"/>
  <c r="O98" i="7" s="1"/>
  <c r="P98" i="7" s="1"/>
  <c r="Q98" i="7" s="1"/>
  <c r="R98" i="7" s="1"/>
  <c r="S98" i="7" s="1"/>
  <c r="T98" i="7" s="1"/>
  <c r="U98" i="7" s="1"/>
  <c r="V98" i="7" s="1"/>
  <c r="W98" i="7" s="1"/>
  <c r="X98" i="7" s="1"/>
  <c r="Y98" i="7" s="1"/>
  <c r="Z98" i="7" s="1"/>
  <c r="AA98" i="7" s="1"/>
  <c r="AB98" i="7" s="1"/>
  <c r="AC98" i="7" s="1"/>
  <c r="AD98" i="7" s="1"/>
  <c r="AE98" i="7" s="1"/>
  <c r="AF98" i="7" s="1"/>
  <c r="AG98" i="7" s="1"/>
  <c r="AH98" i="7" s="1"/>
  <c r="D38" i="7"/>
  <c r="E38" i="7" s="1"/>
  <c r="F38" i="7" s="1"/>
  <c r="G38" i="7" s="1"/>
  <c r="H38" i="7" s="1"/>
  <c r="I38" i="7" s="1"/>
  <c r="J38" i="7" s="1"/>
  <c r="K38" i="7" s="1"/>
  <c r="L38" i="7" s="1"/>
  <c r="M38" i="7" s="1"/>
  <c r="N38" i="7" s="1"/>
  <c r="O38" i="7" s="1"/>
  <c r="P38" i="7" s="1"/>
  <c r="Q38" i="7" s="1"/>
  <c r="R38" i="7" s="1"/>
  <c r="S38" i="7" s="1"/>
  <c r="T38" i="7" s="1"/>
  <c r="U38" i="7" s="1"/>
  <c r="V38" i="7" s="1"/>
  <c r="W38" i="7" s="1"/>
  <c r="X38" i="7" s="1"/>
  <c r="Y38" i="7" s="1"/>
  <c r="Z38" i="7" s="1"/>
  <c r="AA38" i="7" s="1"/>
  <c r="AB38" i="7" s="1"/>
  <c r="AC38" i="7" s="1"/>
  <c r="AD38" i="7" s="1"/>
  <c r="AE38" i="7" s="1"/>
  <c r="AF38" i="7" s="1"/>
  <c r="AG38" i="7" s="1"/>
  <c r="AH38" i="7" s="1"/>
  <c r="D179" i="7"/>
  <c r="E179" i="7" s="1"/>
  <c r="F179" i="7" s="1"/>
  <c r="G179" i="7" s="1"/>
  <c r="H179" i="7" s="1"/>
  <c r="I179" i="7" s="1"/>
  <c r="J179" i="7" s="1"/>
  <c r="K179" i="7" s="1"/>
  <c r="L179" i="7" s="1"/>
  <c r="M179" i="7" s="1"/>
  <c r="N179" i="7" s="1"/>
  <c r="O179" i="7" s="1"/>
  <c r="P179" i="7" s="1"/>
  <c r="Q179" i="7" s="1"/>
  <c r="R179" i="7" s="1"/>
  <c r="S179" i="7" s="1"/>
  <c r="T179" i="7" s="1"/>
  <c r="U179" i="7" s="1"/>
  <c r="V179" i="7" s="1"/>
  <c r="W179" i="7" s="1"/>
  <c r="X179" i="7" s="1"/>
  <c r="Y179" i="7" s="1"/>
  <c r="Z179" i="7" s="1"/>
  <c r="AA179" i="7" s="1"/>
  <c r="AB179" i="7" s="1"/>
  <c r="AC179" i="7" s="1"/>
  <c r="AD179" i="7" s="1"/>
  <c r="AE179" i="7" s="1"/>
  <c r="AF179" i="7" s="1"/>
  <c r="AG179" i="7" s="1"/>
  <c r="AH179" i="7" s="1"/>
  <c r="D17" i="7"/>
  <c r="D187" i="7"/>
  <c r="E187" i="7" s="1"/>
  <c r="F187" i="7" s="1"/>
  <c r="G187" i="7" s="1"/>
  <c r="H187" i="7" s="1"/>
  <c r="I187" i="7" s="1"/>
  <c r="J187" i="7" s="1"/>
  <c r="K187" i="7" s="1"/>
  <c r="L187" i="7" s="1"/>
  <c r="M187" i="7" s="1"/>
  <c r="N187" i="7" s="1"/>
  <c r="O187" i="7" s="1"/>
  <c r="P187" i="7" s="1"/>
  <c r="Q187" i="7" s="1"/>
  <c r="R187" i="7" s="1"/>
  <c r="S187" i="7" s="1"/>
  <c r="T187" i="7" s="1"/>
  <c r="U187" i="7" s="1"/>
  <c r="V187" i="7" s="1"/>
  <c r="W187" i="7" s="1"/>
  <c r="X187" i="7" s="1"/>
  <c r="Y187" i="7" s="1"/>
  <c r="Z187" i="7" s="1"/>
  <c r="AA187" i="7" s="1"/>
  <c r="AB187" i="7" s="1"/>
  <c r="AC187" i="7" s="1"/>
  <c r="AD187" i="7" s="1"/>
  <c r="AE187" i="7" s="1"/>
  <c r="AF187" i="7" s="1"/>
  <c r="AG187" i="7" s="1"/>
  <c r="AH187" i="7" s="1"/>
  <c r="D131" i="7"/>
  <c r="E131" i="7" s="1"/>
  <c r="F131" i="7" s="1"/>
  <c r="G131" i="7" s="1"/>
  <c r="H131" i="7" s="1"/>
  <c r="I131" i="7" s="1"/>
  <c r="J131" i="7" s="1"/>
  <c r="K131" i="7" s="1"/>
  <c r="L131" i="7" s="1"/>
  <c r="M131" i="7" s="1"/>
  <c r="N131" i="7" s="1"/>
  <c r="O131" i="7" s="1"/>
  <c r="P131" i="7" s="1"/>
  <c r="Q131" i="7" s="1"/>
  <c r="R131" i="7" s="1"/>
  <c r="S131" i="7" s="1"/>
  <c r="T131" i="7" s="1"/>
  <c r="U131" i="7" s="1"/>
  <c r="V131" i="7" s="1"/>
  <c r="W131" i="7" s="1"/>
  <c r="X131" i="7" s="1"/>
  <c r="Y131" i="7" s="1"/>
  <c r="Z131" i="7" s="1"/>
  <c r="AA131" i="7" s="1"/>
  <c r="AB131" i="7" s="1"/>
  <c r="AC131" i="7" s="1"/>
  <c r="AD131" i="7" s="1"/>
  <c r="AE131" i="7" s="1"/>
  <c r="AF131" i="7" s="1"/>
  <c r="AG131" i="7" s="1"/>
  <c r="AH131" i="7" s="1"/>
  <c r="D49" i="7"/>
  <c r="E49" i="7" s="1"/>
  <c r="F49" i="7" s="1"/>
  <c r="G49" i="7" s="1"/>
  <c r="H49" i="7" s="1"/>
  <c r="I49" i="7" s="1"/>
  <c r="J49" i="7" s="1"/>
  <c r="K49" i="7" s="1"/>
  <c r="L49" i="7" s="1"/>
  <c r="M49" i="7" s="1"/>
  <c r="N49" i="7" s="1"/>
  <c r="O49" i="7" s="1"/>
  <c r="P49" i="7" s="1"/>
  <c r="Q49" i="7" s="1"/>
  <c r="R49" i="7" s="1"/>
  <c r="S49" i="7" s="1"/>
  <c r="T49" i="7" s="1"/>
  <c r="U49" i="7" s="1"/>
  <c r="V49" i="7" s="1"/>
  <c r="W49" i="7" s="1"/>
  <c r="X49" i="7" s="1"/>
  <c r="Y49" i="7" s="1"/>
  <c r="Z49" i="7" s="1"/>
  <c r="AA49" i="7" s="1"/>
  <c r="AB49" i="7" s="1"/>
  <c r="AC49" i="7" s="1"/>
  <c r="AD49" i="7" s="1"/>
  <c r="AE49" i="7" s="1"/>
  <c r="AF49" i="7" s="1"/>
  <c r="AG49" i="7" s="1"/>
  <c r="AH49" i="7" s="1"/>
  <c r="D23" i="7"/>
  <c r="E23" i="7" s="1"/>
  <c r="F23" i="7" s="1"/>
  <c r="G23" i="7" s="1"/>
  <c r="H23" i="7" s="1"/>
  <c r="I23" i="7" s="1"/>
  <c r="J23" i="7" s="1"/>
  <c r="K23" i="7" s="1"/>
  <c r="L23" i="7" s="1"/>
  <c r="M23" i="7" s="1"/>
  <c r="N23" i="7" s="1"/>
  <c r="O23" i="7" s="1"/>
  <c r="P23" i="7" s="1"/>
  <c r="Q23" i="7" s="1"/>
  <c r="R23" i="7" s="1"/>
  <c r="S23" i="7" s="1"/>
  <c r="T23" i="7" s="1"/>
  <c r="U23" i="7" s="1"/>
  <c r="V23" i="7" s="1"/>
  <c r="W23" i="7" s="1"/>
  <c r="X23" i="7" s="1"/>
  <c r="Y23" i="7" s="1"/>
  <c r="Z23" i="7" s="1"/>
  <c r="AA23" i="7" s="1"/>
  <c r="AB23" i="7" s="1"/>
  <c r="AC23" i="7" s="1"/>
  <c r="AD23" i="7" s="1"/>
  <c r="AE23" i="7" s="1"/>
  <c r="AF23" i="7" s="1"/>
  <c r="AG23" i="7" s="1"/>
  <c r="AH23" i="7" s="1"/>
  <c r="D212" i="7"/>
  <c r="E212" i="7" s="1"/>
  <c r="F212" i="7" s="1"/>
  <c r="G212" i="7" s="1"/>
  <c r="H212" i="7" s="1"/>
  <c r="I212" i="7" s="1"/>
  <c r="J212" i="7" s="1"/>
  <c r="K212" i="7" s="1"/>
  <c r="L212" i="7" s="1"/>
  <c r="M212" i="7" s="1"/>
  <c r="N212" i="7" s="1"/>
  <c r="O212" i="7" s="1"/>
  <c r="P212" i="7" s="1"/>
  <c r="Q212" i="7" s="1"/>
  <c r="R212" i="7" s="1"/>
  <c r="S212" i="7" s="1"/>
  <c r="T212" i="7" s="1"/>
  <c r="U212" i="7" s="1"/>
  <c r="V212" i="7" s="1"/>
  <c r="W212" i="7" s="1"/>
  <c r="X212" i="7" s="1"/>
  <c r="Y212" i="7" s="1"/>
  <c r="Z212" i="7" s="1"/>
  <c r="AA212" i="7" s="1"/>
  <c r="AB212" i="7" s="1"/>
  <c r="AC212" i="7" s="1"/>
  <c r="AD212" i="7" s="1"/>
  <c r="AE212" i="7" s="1"/>
  <c r="AF212" i="7" s="1"/>
  <c r="AG212" i="7" s="1"/>
  <c r="AH212" i="7" s="1"/>
  <c r="D134" i="7"/>
  <c r="E134" i="7" s="1"/>
  <c r="F134" i="7" s="1"/>
  <c r="G134" i="7" s="1"/>
  <c r="H134" i="7" s="1"/>
  <c r="I134" i="7" s="1"/>
  <c r="J134" i="7" s="1"/>
  <c r="K134" i="7" s="1"/>
  <c r="L134" i="7" s="1"/>
  <c r="M134" i="7" s="1"/>
  <c r="N134" i="7" s="1"/>
  <c r="O134" i="7" s="1"/>
  <c r="P134" i="7" s="1"/>
  <c r="Q134" i="7" s="1"/>
  <c r="R134" i="7" s="1"/>
  <c r="S134" i="7" s="1"/>
  <c r="T134" i="7" s="1"/>
  <c r="U134" i="7" s="1"/>
  <c r="V134" i="7" s="1"/>
  <c r="W134" i="7" s="1"/>
  <c r="X134" i="7" s="1"/>
  <c r="Y134" i="7" s="1"/>
  <c r="Z134" i="7" s="1"/>
  <c r="AA134" i="7" s="1"/>
  <c r="AB134" i="7" s="1"/>
  <c r="AC134" i="7" s="1"/>
  <c r="AD134" i="7" s="1"/>
  <c r="AE134" i="7" s="1"/>
  <c r="AF134" i="7" s="1"/>
  <c r="AG134" i="7" s="1"/>
  <c r="AH134" i="7" s="1"/>
  <c r="D193" i="7"/>
  <c r="E193" i="7" s="1"/>
  <c r="F193" i="7" s="1"/>
  <c r="G193" i="7" s="1"/>
  <c r="H193" i="7" s="1"/>
  <c r="I193" i="7" s="1"/>
  <c r="J193" i="7" s="1"/>
  <c r="K193" i="7" s="1"/>
  <c r="L193" i="7" s="1"/>
  <c r="M193" i="7" s="1"/>
  <c r="N193" i="7" s="1"/>
  <c r="O193" i="7" s="1"/>
  <c r="P193" i="7" s="1"/>
  <c r="Q193" i="7" s="1"/>
  <c r="R193" i="7" s="1"/>
  <c r="S193" i="7" s="1"/>
  <c r="T193" i="7" s="1"/>
  <c r="U193" i="7" s="1"/>
  <c r="V193" i="7" s="1"/>
  <c r="W193" i="7" s="1"/>
  <c r="X193" i="7" s="1"/>
  <c r="Y193" i="7" s="1"/>
  <c r="Z193" i="7" s="1"/>
  <c r="AA193" i="7" s="1"/>
  <c r="AB193" i="7" s="1"/>
  <c r="AC193" i="7" s="1"/>
  <c r="AD193" i="7" s="1"/>
  <c r="AE193" i="7" s="1"/>
  <c r="AF193" i="7" s="1"/>
  <c r="AG193" i="7" s="1"/>
  <c r="AH193" i="7" s="1"/>
  <c r="D133" i="7"/>
  <c r="E133" i="7" s="1"/>
  <c r="F133" i="7" s="1"/>
  <c r="G133" i="7" s="1"/>
  <c r="H133" i="7" s="1"/>
  <c r="I133" i="7" s="1"/>
  <c r="J133" i="7" s="1"/>
  <c r="K133" i="7" s="1"/>
  <c r="L133" i="7" s="1"/>
  <c r="M133" i="7" s="1"/>
  <c r="N133" i="7" s="1"/>
  <c r="O133" i="7" s="1"/>
  <c r="P133" i="7" s="1"/>
  <c r="Q133" i="7" s="1"/>
  <c r="R133" i="7" s="1"/>
  <c r="S133" i="7" s="1"/>
  <c r="T133" i="7" s="1"/>
  <c r="U133" i="7" s="1"/>
  <c r="V133" i="7" s="1"/>
  <c r="W133" i="7" s="1"/>
  <c r="X133" i="7" s="1"/>
  <c r="Y133" i="7" s="1"/>
  <c r="Z133" i="7" s="1"/>
  <c r="AA133" i="7" s="1"/>
  <c r="AB133" i="7" s="1"/>
  <c r="AC133" i="7" s="1"/>
  <c r="AD133" i="7" s="1"/>
  <c r="AE133" i="7" s="1"/>
  <c r="AF133" i="7" s="1"/>
  <c r="AG133" i="7" s="1"/>
  <c r="AH133" i="7" s="1"/>
  <c r="D115" i="7"/>
  <c r="E115" i="7" s="1"/>
  <c r="F115" i="7" s="1"/>
  <c r="G115" i="7" s="1"/>
  <c r="H115" i="7" s="1"/>
  <c r="I115" i="7" s="1"/>
  <c r="J115" i="7" s="1"/>
  <c r="K115" i="7" s="1"/>
  <c r="L115" i="7" s="1"/>
  <c r="M115" i="7" s="1"/>
  <c r="N115" i="7" s="1"/>
  <c r="O115" i="7" s="1"/>
  <c r="P115" i="7" s="1"/>
  <c r="Q115" i="7" s="1"/>
  <c r="R115" i="7" s="1"/>
  <c r="S115" i="7" s="1"/>
  <c r="T115" i="7" s="1"/>
  <c r="U115" i="7" s="1"/>
  <c r="V115" i="7" s="1"/>
  <c r="W115" i="7" s="1"/>
  <c r="X115" i="7" s="1"/>
  <c r="Y115" i="7" s="1"/>
  <c r="Z115" i="7" s="1"/>
  <c r="AA115" i="7" s="1"/>
  <c r="AB115" i="7" s="1"/>
  <c r="AC115" i="7" s="1"/>
  <c r="AD115" i="7" s="1"/>
  <c r="AE115" i="7" s="1"/>
  <c r="AF115" i="7" s="1"/>
  <c r="AG115" i="7" s="1"/>
  <c r="AH115" i="7" s="1"/>
  <c r="D89" i="7"/>
  <c r="E89" i="7" s="1"/>
  <c r="F89" i="7" s="1"/>
  <c r="G89" i="7" s="1"/>
  <c r="H89" i="7" s="1"/>
  <c r="I89" i="7" s="1"/>
  <c r="J89" i="7" s="1"/>
  <c r="K89" i="7" s="1"/>
  <c r="L89" i="7" s="1"/>
  <c r="M89" i="7" s="1"/>
  <c r="N89" i="7" s="1"/>
  <c r="O89" i="7" s="1"/>
  <c r="P89" i="7" s="1"/>
  <c r="Q89" i="7" s="1"/>
  <c r="R89" i="7" s="1"/>
  <c r="S89" i="7" s="1"/>
  <c r="T89" i="7" s="1"/>
  <c r="U89" i="7" s="1"/>
  <c r="V89" i="7" s="1"/>
  <c r="W89" i="7" s="1"/>
  <c r="X89" i="7" s="1"/>
  <c r="Y89" i="7" s="1"/>
  <c r="Z89" i="7" s="1"/>
  <c r="AA89" i="7" s="1"/>
  <c r="AB89" i="7" s="1"/>
  <c r="AC89" i="7" s="1"/>
  <c r="AD89" i="7" s="1"/>
  <c r="AE89" i="7" s="1"/>
  <c r="AF89" i="7" s="1"/>
  <c r="AG89" i="7" s="1"/>
  <c r="AH89" i="7" s="1"/>
  <c r="D33" i="7"/>
  <c r="E33" i="7" s="1"/>
  <c r="F33" i="7" s="1"/>
  <c r="G33" i="7" s="1"/>
  <c r="H33" i="7" s="1"/>
  <c r="I33" i="7" s="1"/>
  <c r="J33" i="7" s="1"/>
  <c r="K33" i="7" s="1"/>
  <c r="L33" i="7" s="1"/>
  <c r="M33" i="7" s="1"/>
  <c r="N33" i="7" s="1"/>
  <c r="O33" i="7" s="1"/>
  <c r="P33" i="7" s="1"/>
  <c r="Q33" i="7" s="1"/>
  <c r="R33" i="7" s="1"/>
  <c r="S33" i="7" s="1"/>
  <c r="T33" i="7" s="1"/>
  <c r="U33" i="7" s="1"/>
  <c r="V33" i="7" s="1"/>
  <c r="W33" i="7" s="1"/>
  <c r="X33" i="7" s="1"/>
  <c r="Y33" i="7" s="1"/>
  <c r="Z33" i="7" s="1"/>
  <c r="AA33" i="7" s="1"/>
  <c r="AB33" i="7" s="1"/>
  <c r="AC33" i="7" s="1"/>
  <c r="AD33" i="7" s="1"/>
  <c r="AE33" i="7" s="1"/>
  <c r="AF33" i="7" s="1"/>
  <c r="AG33" i="7" s="1"/>
  <c r="AH33" i="7" s="1"/>
  <c r="D171" i="7"/>
  <c r="E171" i="7" s="1"/>
  <c r="F171" i="7" s="1"/>
  <c r="G171" i="7" s="1"/>
  <c r="H171" i="7" s="1"/>
  <c r="I171" i="7" s="1"/>
  <c r="J171" i="7" s="1"/>
  <c r="K171" i="7" s="1"/>
  <c r="L171" i="7" s="1"/>
  <c r="M171" i="7" s="1"/>
  <c r="N171" i="7" s="1"/>
  <c r="O171" i="7" s="1"/>
  <c r="P171" i="7" s="1"/>
  <c r="Q171" i="7" s="1"/>
  <c r="R171" i="7" s="1"/>
  <c r="S171" i="7" s="1"/>
  <c r="T171" i="7" s="1"/>
  <c r="U171" i="7" s="1"/>
  <c r="V171" i="7" s="1"/>
  <c r="W171" i="7" s="1"/>
  <c r="X171" i="7" s="1"/>
  <c r="Y171" i="7" s="1"/>
  <c r="Z171" i="7" s="1"/>
  <c r="AA171" i="7" s="1"/>
  <c r="AB171" i="7" s="1"/>
  <c r="AC171" i="7" s="1"/>
  <c r="AD171" i="7" s="1"/>
  <c r="AE171" i="7" s="1"/>
  <c r="AF171" i="7" s="1"/>
  <c r="AG171" i="7" s="1"/>
  <c r="AH171" i="7" s="1"/>
  <c r="D44" i="7"/>
  <c r="E44" i="7" s="1"/>
  <c r="F44" i="7" s="1"/>
  <c r="G44" i="7" s="1"/>
  <c r="H44" i="7" s="1"/>
  <c r="I44" i="7" s="1"/>
  <c r="J44" i="7" s="1"/>
  <c r="K44" i="7" s="1"/>
  <c r="L44" i="7" s="1"/>
  <c r="M44" i="7" s="1"/>
  <c r="N44" i="7" s="1"/>
  <c r="O44" i="7" s="1"/>
  <c r="P44" i="7" s="1"/>
  <c r="Q44" i="7" s="1"/>
  <c r="R44" i="7" s="1"/>
  <c r="S44" i="7" s="1"/>
  <c r="T44" i="7" s="1"/>
  <c r="U44" i="7" s="1"/>
  <c r="V44" i="7" s="1"/>
  <c r="W44" i="7" s="1"/>
  <c r="X44" i="7" s="1"/>
  <c r="Y44" i="7" s="1"/>
  <c r="Z44" i="7" s="1"/>
  <c r="AA44" i="7" s="1"/>
  <c r="AB44" i="7" s="1"/>
  <c r="AC44" i="7" s="1"/>
  <c r="AD44" i="7" s="1"/>
  <c r="AE44" i="7" s="1"/>
  <c r="AF44" i="7" s="1"/>
  <c r="AG44" i="7" s="1"/>
  <c r="AH44" i="7" s="1"/>
  <c r="D164" i="7"/>
  <c r="E164" i="7" s="1"/>
  <c r="F164" i="7" s="1"/>
  <c r="G164" i="7" s="1"/>
  <c r="H164" i="7" s="1"/>
  <c r="I164" i="7" s="1"/>
  <c r="J164" i="7" s="1"/>
  <c r="K164" i="7" s="1"/>
  <c r="L164" i="7" s="1"/>
  <c r="M164" i="7" s="1"/>
  <c r="N164" i="7" s="1"/>
  <c r="O164" i="7" s="1"/>
  <c r="P164" i="7" s="1"/>
  <c r="Q164" i="7" s="1"/>
  <c r="R164" i="7" s="1"/>
  <c r="S164" i="7" s="1"/>
  <c r="T164" i="7" s="1"/>
  <c r="U164" i="7" s="1"/>
  <c r="V164" i="7" s="1"/>
  <c r="W164" i="7" s="1"/>
  <c r="X164" i="7" s="1"/>
  <c r="Y164" i="7" s="1"/>
  <c r="Z164" i="7" s="1"/>
  <c r="AA164" i="7" s="1"/>
  <c r="AB164" i="7" s="1"/>
  <c r="AC164" i="7" s="1"/>
  <c r="AD164" i="7" s="1"/>
  <c r="AE164" i="7" s="1"/>
  <c r="AF164" i="7" s="1"/>
  <c r="AG164" i="7" s="1"/>
  <c r="AH164" i="7" s="1"/>
  <c r="D57" i="7"/>
  <c r="E57" i="7" s="1"/>
  <c r="F57" i="7" s="1"/>
  <c r="G57" i="7" s="1"/>
  <c r="H57" i="7" s="1"/>
  <c r="I57" i="7" s="1"/>
  <c r="J57" i="7" s="1"/>
  <c r="K57" i="7" s="1"/>
  <c r="L57" i="7" s="1"/>
  <c r="M57" i="7" s="1"/>
  <c r="N57" i="7" s="1"/>
  <c r="O57" i="7" s="1"/>
  <c r="P57" i="7" s="1"/>
  <c r="Q57" i="7" s="1"/>
  <c r="R57" i="7" s="1"/>
  <c r="S57" i="7" s="1"/>
  <c r="T57" i="7" s="1"/>
  <c r="U57" i="7" s="1"/>
  <c r="V57" i="7" s="1"/>
  <c r="W57" i="7" s="1"/>
  <c r="X57" i="7" s="1"/>
  <c r="Y57" i="7" s="1"/>
  <c r="Z57" i="7" s="1"/>
  <c r="AA57" i="7" s="1"/>
  <c r="AB57" i="7" s="1"/>
  <c r="AC57" i="7" s="1"/>
  <c r="AD57" i="7" s="1"/>
  <c r="AE57" i="7" s="1"/>
  <c r="AF57" i="7" s="1"/>
  <c r="AG57" i="7" s="1"/>
  <c r="AH57" i="7" s="1"/>
  <c r="D123" i="7"/>
  <c r="E123" i="7" s="1"/>
  <c r="F123" i="7" s="1"/>
  <c r="G123" i="7" s="1"/>
  <c r="H123" i="7" s="1"/>
  <c r="I123" i="7" s="1"/>
  <c r="J123" i="7" s="1"/>
  <c r="K123" i="7" s="1"/>
  <c r="L123" i="7" s="1"/>
  <c r="M123" i="7" s="1"/>
  <c r="N123" i="7" s="1"/>
  <c r="O123" i="7" s="1"/>
  <c r="P123" i="7" s="1"/>
  <c r="Q123" i="7" s="1"/>
  <c r="R123" i="7" s="1"/>
  <c r="S123" i="7" s="1"/>
  <c r="T123" i="7" s="1"/>
  <c r="U123" i="7" s="1"/>
  <c r="V123" i="7" s="1"/>
  <c r="W123" i="7" s="1"/>
  <c r="X123" i="7" s="1"/>
  <c r="Y123" i="7" s="1"/>
  <c r="Z123" i="7" s="1"/>
  <c r="AA123" i="7" s="1"/>
  <c r="AB123" i="7" s="1"/>
  <c r="AC123" i="7" s="1"/>
  <c r="AD123" i="7" s="1"/>
  <c r="AE123" i="7" s="1"/>
  <c r="AF123" i="7" s="1"/>
  <c r="AG123" i="7" s="1"/>
  <c r="AH123" i="7" s="1"/>
  <c r="D201" i="7"/>
  <c r="E201" i="7" s="1"/>
  <c r="F201" i="7" s="1"/>
  <c r="G201" i="7" s="1"/>
  <c r="H201" i="7" s="1"/>
  <c r="I201" i="7" s="1"/>
  <c r="J201" i="7" s="1"/>
  <c r="K201" i="7" s="1"/>
  <c r="L201" i="7" s="1"/>
  <c r="M201" i="7" s="1"/>
  <c r="N201" i="7" s="1"/>
  <c r="O201" i="7" s="1"/>
  <c r="P201" i="7" s="1"/>
  <c r="Q201" i="7" s="1"/>
  <c r="R201" i="7" s="1"/>
  <c r="S201" i="7" s="1"/>
  <c r="T201" i="7" s="1"/>
  <c r="U201" i="7" s="1"/>
  <c r="V201" i="7" s="1"/>
  <c r="W201" i="7" s="1"/>
  <c r="X201" i="7" s="1"/>
  <c r="Y201" i="7" s="1"/>
  <c r="Z201" i="7" s="1"/>
  <c r="AA201" i="7" s="1"/>
  <c r="AB201" i="7" s="1"/>
  <c r="AC201" i="7" s="1"/>
  <c r="AD201" i="7" s="1"/>
  <c r="AE201" i="7" s="1"/>
  <c r="AF201" i="7" s="1"/>
  <c r="AG201" i="7" s="1"/>
  <c r="AH201" i="7" s="1"/>
  <c r="D163" i="7"/>
  <c r="E163" i="7" s="1"/>
  <c r="F163" i="7" s="1"/>
  <c r="G163" i="7" s="1"/>
  <c r="H163" i="7" s="1"/>
  <c r="I163" i="7" s="1"/>
  <c r="J163" i="7" s="1"/>
  <c r="K163" i="7" s="1"/>
  <c r="L163" i="7" s="1"/>
  <c r="M163" i="7" s="1"/>
  <c r="N163" i="7" s="1"/>
  <c r="O163" i="7" s="1"/>
  <c r="P163" i="7" s="1"/>
  <c r="Q163" i="7" s="1"/>
  <c r="R163" i="7" s="1"/>
  <c r="S163" i="7" s="1"/>
  <c r="T163" i="7" s="1"/>
  <c r="U163" i="7" s="1"/>
  <c r="V163" i="7" s="1"/>
  <c r="W163" i="7" s="1"/>
  <c r="X163" i="7" s="1"/>
  <c r="Y163" i="7" s="1"/>
  <c r="Z163" i="7" s="1"/>
  <c r="AA163" i="7" s="1"/>
  <c r="AB163" i="7" s="1"/>
  <c r="AC163" i="7" s="1"/>
  <c r="AD163" i="7" s="1"/>
  <c r="AE163" i="7" s="1"/>
  <c r="AF163" i="7" s="1"/>
  <c r="AG163" i="7" s="1"/>
  <c r="AH163" i="7" s="1"/>
  <c r="D142" i="7"/>
  <c r="E142" i="7" s="1"/>
  <c r="F142" i="7" s="1"/>
  <c r="G142" i="7" s="1"/>
  <c r="H142" i="7" s="1"/>
  <c r="I142" i="7" s="1"/>
  <c r="J142" i="7" s="1"/>
  <c r="K142" i="7" s="1"/>
  <c r="L142" i="7" s="1"/>
  <c r="M142" i="7" s="1"/>
  <c r="N142" i="7" s="1"/>
  <c r="O142" i="7" s="1"/>
  <c r="P142" i="7" s="1"/>
  <c r="Q142" i="7" s="1"/>
  <c r="R142" i="7" s="1"/>
  <c r="S142" i="7" s="1"/>
  <c r="T142" i="7" s="1"/>
  <c r="U142" i="7" s="1"/>
  <c r="V142" i="7" s="1"/>
  <c r="W142" i="7" s="1"/>
  <c r="X142" i="7" s="1"/>
  <c r="Y142" i="7" s="1"/>
  <c r="Z142" i="7" s="1"/>
  <c r="AA142" i="7" s="1"/>
  <c r="AB142" i="7" s="1"/>
  <c r="AC142" i="7" s="1"/>
  <c r="AD142" i="7" s="1"/>
  <c r="AE142" i="7" s="1"/>
  <c r="AF142" i="7" s="1"/>
  <c r="AG142" i="7" s="1"/>
  <c r="AH142" i="7" s="1"/>
  <c r="D42" i="7"/>
  <c r="E42" i="7" s="1"/>
  <c r="F42" i="7" s="1"/>
  <c r="G42" i="7" s="1"/>
  <c r="H42" i="7" s="1"/>
  <c r="I42" i="7" s="1"/>
  <c r="J42" i="7" s="1"/>
  <c r="K42" i="7" s="1"/>
  <c r="L42" i="7" s="1"/>
  <c r="M42" i="7" s="1"/>
  <c r="N42" i="7" s="1"/>
  <c r="O42" i="7" s="1"/>
  <c r="P42" i="7" s="1"/>
  <c r="Q42" i="7" s="1"/>
  <c r="R42" i="7" s="1"/>
  <c r="S42" i="7" s="1"/>
  <c r="T42" i="7" s="1"/>
  <c r="U42" i="7" s="1"/>
  <c r="V42" i="7" s="1"/>
  <c r="W42" i="7" s="1"/>
  <c r="X42" i="7" s="1"/>
  <c r="Y42" i="7" s="1"/>
  <c r="Z42" i="7" s="1"/>
  <c r="AA42" i="7" s="1"/>
  <c r="AB42" i="7" s="1"/>
  <c r="AC42" i="7" s="1"/>
  <c r="AD42" i="7" s="1"/>
  <c r="AE42" i="7" s="1"/>
  <c r="AF42" i="7" s="1"/>
  <c r="AG42" i="7" s="1"/>
  <c r="AH42" i="7" s="1"/>
  <c r="D55" i="7"/>
  <c r="E55" i="7" s="1"/>
  <c r="F55" i="7" s="1"/>
  <c r="G55" i="7" s="1"/>
  <c r="H55" i="7" s="1"/>
  <c r="I55" i="7" s="1"/>
  <c r="J55" i="7" s="1"/>
  <c r="K55" i="7" s="1"/>
  <c r="L55" i="7" s="1"/>
  <c r="M55" i="7" s="1"/>
  <c r="N55" i="7" s="1"/>
  <c r="O55" i="7" s="1"/>
  <c r="P55" i="7" s="1"/>
  <c r="Q55" i="7" s="1"/>
  <c r="R55" i="7" s="1"/>
  <c r="S55" i="7" s="1"/>
  <c r="T55" i="7" s="1"/>
  <c r="U55" i="7" s="1"/>
  <c r="V55" i="7" s="1"/>
  <c r="W55" i="7" s="1"/>
  <c r="X55" i="7" s="1"/>
  <c r="Y55" i="7" s="1"/>
  <c r="Z55" i="7" s="1"/>
  <c r="AA55" i="7" s="1"/>
  <c r="AB55" i="7" s="1"/>
  <c r="AC55" i="7" s="1"/>
  <c r="AD55" i="7" s="1"/>
  <c r="AE55" i="7" s="1"/>
  <c r="AF55" i="7" s="1"/>
  <c r="AG55" i="7" s="1"/>
  <c r="AH55" i="7" s="1"/>
  <c r="D120" i="7"/>
  <c r="E120" i="7" s="1"/>
  <c r="F120" i="7" s="1"/>
  <c r="G120" i="7" s="1"/>
  <c r="H120" i="7" s="1"/>
  <c r="I120" i="7" s="1"/>
  <c r="J120" i="7" s="1"/>
  <c r="K120" i="7" s="1"/>
  <c r="L120" i="7" s="1"/>
  <c r="M120" i="7" s="1"/>
  <c r="N120" i="7" s="1"/>
  <c r="O120" i="7" s="1"/>
  <c r="P120" i="7" s="1"/>
  <c r="Q120" i="7" s="1"/>
  <c r="R120" i="7" s="1"/>
  <c r="S120" i="7" s="1"/>
  <c r="T120" i="7" s="1"/>
  <c r="U120" i="7" s="1"/>
  <c r="V120" i="7" s="1"/>
  <c r="W120" i="7" s="1"/>
  <c r="X120" i="7" s="1"/>
  <c r="Y120" i="7" s="1"/>
  <c r="Z120" i="7" s="1"/>
  <c r="AA120" i="7" s="1"/>
  <c r="AB120" i="7" s="1"/>
  <c r="AC120" i="7" s="1"/>
  <c r="AD120" i="7" s="1"/>
  <c r="AE120" i="7" s="1"/>
  <c r="AF120" i="7" s="1"/>
  <c r="AG120" i="7" s="1"/>
  <c r="AH120" i="7" s="1"/>
  <c r="D127" i="7"/>
  <c r="E127" i="7" s="1"/>
  <c r="F127" i="7" s="1"/>
  <c r="G127" i="7" s="1"/>
  <c r="H127" i="7" s="1"/>
  <c r="I127" i="7" s="1"/>
  <c r="J127" i="7" s="1"/>
  <c r="K127" i="7" s="1"/>
  <c r="L127" i="7" s="1"/>
  <c r="M127" i="7" s="1"/>
  <c r="N127" i="7" s="1"/>
  <c r="O127" i="7" s="1"/>
  <c r="P127" i="7" s="1"/>
  <c r="Q127" i="7" s="1"/>
  <c r="R127" i="7" s="1"/>
  <c r="S127" i="7" s="1"/>
  <c r="T127" i="7" s="1"/>
  <c r="U127" i="7" s="1"/>
  <c r="V127" i="7" s="1"/>
  <c r="W127" i="7" s="1"/>
  <c r="X127" i="7" s="1"/>
  <c r="Y127" i="7" s="1"/>
  <c r="Z127" i="7" s="1"/>
  <c r="AA127" i="7" s="1"/>
  <c r="AB127" i="7" s="1"/>
  <c r="AC127" i="7" s="1"/>
  <c r="AD127" i="7" s="1"/>
  <c r="AE127" i="7" s="1"/>
  <c r="AF127" i="7" s="1"/>
  <c r="AG127" i="7" s="1"/>
  <c r="AH127" i="7" s="1"/>
  <c r="D207" i="7"/>
  <c r="E207" i="7" s="1"/>
  <c r="F207" i="7" s="1"/>
  <c r="G207" i="7" s="1"/>
  <c r="H207" i="7" s="1"/>
  <c r="I207" i="7" s="1"/>
  <c r="J207" i="7" s="1"/>
  <c r="K207" i="7" s="1"/>
  <c r="L207" i="7" s="1"/>
  <c r="M207" i="7" s="1"/>
  <c r="N207" i="7" s="1"/>
  <c r="O207" i="7" s="1"/>
  <c r="P207" i="7" s="1"/>
  <c r="Q207" i="7" s="1"/>
  <c r="R207" i="7" s="1"/>
  <c r="S207" i="7" s="1"/>
  <c r="T207" i="7" s="1"/>
  <c r="U207" i="7" s="1"/>
  <c r="V207" i="7" s="1"/>
  <c r="W207" i="7" s="1"/>
  <c r="X207" i="7" s="1"/>
  <c r="Y207" i="7" s="1"/>
  <c r="Z207" i="7" s="1"/>
  <c r="AA207" i="7" s="1"/>
  <c r="AB207" i="7" s="1"/>
  <c r="AC207" i="7" s="1"/>
  <c r="AD207" i="7" s="1"/>
  <c r="AE207" i="7" s="1"/>
  <c r="AF207" i="7" s="1"/>
  <c r="AG207" i="7" s="1"/>
  <c r="AH207" i="7" s="1"/>
  <c r="D116" i="7"/>
  <c r="E116" i="7" s="1"/>
  <c r="F116" i="7" s="1"/>
  <c r="G116" i="7" s="1"/>
  <c r="H116" i="7" s="1"/>
  <c r="I116" i="7" s="1"/>
  <c r="J116" i="7" s="1"/>
  <c r="K116" i="7" s="1"/>
  <c r="L116" i="7" s="1"/>
  <c r="M116" i="7" s="1"/>
  <c r="N116" i="7" s="1"/>
  <c r="O116" i="7" s="1"/>
  <c r="P116" i="7" s="1"/>
  <c r="Q116" i="7" s="1"/>
  <c r="R116" i="7" s="1"/>
  <c r="S116" i="7" s="1"/>
  <c r="T116" i="7" s="1"/>
  <c r="U116" i="7" s="1"/>
  <c r="V116" i="7" s="1"/>
  <c r="W116" i="7" s="1"/>
  <c r="X116" i="7" s="1"/>
  <c r="Y116" i="7" s="1"/>
  <c r="Z116" i="7" s="1"/>
  <c r="AA116" i="7" s="1"/>
  <c r="AB116" i="7" s="1"/>
  <c r="AC116" i="7" s="1"/>
  <c r="AD116" i="7" s="1"/>
  <c r="AE116" i="7" s="1"/>
  <c r="AF116" i="7" s="1"/>
  <c r="AG116" i="7" s="1"/>
  <c r="AH116" i="7" s="1"/>
  <c r="D77" i="7"/>
  <c r="E77" i="7" s="1"/>
  <c r="F77" i="7" s="1"/>
  <c r="G77" i="7" s="1"/>
  <c r="H77" i="7" s="1"/>
  <c r="I77" i="7" s="1"/>
  <c r="J77" i="7" s="1"/>
  <c r="K77" i="7" s="1"/>
  <c r="L77" i="7" s="1"/>
  <c r="M77" i="7" s="1"/>
  <c r="N77" i="7" s="1"/>
  <c r="O77" i="7" s="1"/>
  <c r="P77" i="7" s="1"/>
  <c r="Q77" i="7" s="1"/>
  <c r="R77" i="7" s="1"/>
  <c r="S77" i="7" s="1"/>
  <c r="T77" i="7" s="1"/>
  <c r="U77" i="7" s="1"/>
  <c r="V77" i="7" s="1"/>
  <c r="W77" i="7" s="1"/>
  <c r="X77" i="7" s="1"/>
  <c r="Y77" i="7" s="1"/>
  <c r="Z77" i="7" s="1"/>
  <c r="AA77" i="7" s="1"/>
  <c r="AB77" i="7" s="1"/>
  <c r="AC77" i="7" s="1"/>
  <c r="AD77" i="7" s="1"/>
  <c r="AE77" i="7" s="1"/>
  <c r="AF77" i="7" s="1"/>
  <c r="AG77" i="7" s="1"/>
  <c r="AH77" i="7" s="1"/>
  <c r="D210" i="7"/>
  <c r="E210" i="7" s="1"/>
  <c r="F210" i="7" s="1"/>
  <c r="G210" i="7" s="1"/>
  <c r="H210" i="7" s="1"/>
  <c r="I210" i="7" s="1"/>
  <c r="J210" i="7" s="1"/>
  <c r="K210" i="7" s="1"/>
  <c r="L210" i="7" s="1"/>
  <c r="M210" i="7" s="1"/>
  <c r="N210" i="7" s="1"/>
  <c r="O210" i="7" s="1"/>
  <c r="P210" i="7" s="1"/>
  <c r="Q210" i="7" s="1"/>
  <c r="R210" i="7" s="1"/>
  <c r="S210" i="7" s="1"/>
  <c r="T210" i="7" s="1"/>
  <c r="U210" i="7" s="1"/>
  <c r="V210" i="7" s="1"/>
  <c r="W210" i="7" s="1"/>
  <c r="X210" i="7" s="1"/>
  <c r="Y210" i="7" s="1"/>
  <c r="Z210" i="7" s="1"/>
  <c r="AA210" i="7" s="1"/>
  <c r="AB210" i="7" s="1"/>
  <c r="AC210" i="7" s="1"/>
  <c r="AD210" i="7" s="1"/>
  <c r="AE210" i="7" s="1"/>
  <c r="AF210" i="7" s="1"/>
  <c r="AG210" i="7" s="1"/>
  <c r="AH210" i="7" s="1"/>
  <c r="D185" i="7"/>
  <c r="E185" i="7" s="1"/>
  <c r="F185" i="7" s="1"/>
  <c r="G185" i="7" s="1"/>
  <c r="H185" i="7" s="1"/>
  <c r="I185" i="7" s="1"/>
  <c r="J185" i="7" s="1"/>
  <c r="K185" i="7" s="1"/>
  <c r="L185" i="7" s="1"/>
  <c r="M185" i="7" s="1"/>
  <c r="N185" i="7" s="1"/>
  <c r="O185" i="7" s="1"/>
  <c r="P185" i="7" s="1"/>
  <c r="Q185" i="7" s="1"/>
  <c r="R185" i="7" s="1"/>
  <c r="S185" i="7" s="1"/>
  <c r="T185" i="7" s="1"/>
  <c r="U185" i="7" s="1"/>
  <c r="V185" i="7" s="1"/>
  <c r="W185" i="7" s="1"/>
  <c r="X185" i="7" s="1"/>
  <c r="Y185" i="7" s="1"/>
  <c r="Z185" i="7" s="1"/>
  <c r="AA185" i="7" s="1"/>
  <c r="AB185" i="7" s="1"/>
  <c r="AC185" i="7" s="1"/>
  <c r="AD185" i="7" s="1"/>
  <c r="AE185" i="7" s="1"/>
  <c r="AF185" i="7" s="1"/>
  <c r="AG185" i="7" s="1"/>
  <c r="AH185" i="7" s="1"/>
  <c r="D188" i="7"/>
  <c r="E188" i="7" s="1"/>
  <c r="F188" i="7" s="1"/>
  <c r="G188" i="7" s="1"/>
  <c r="H188" i="7" s="1"/>
  <c r="I188" i="7" s="1"/>
  <c r="J188" i="7" s="1"/>
  <c r="K188" i="7" s="1"/>
  <c r="L188" i="7" s="1"/>
  <c r="M188" i="7" s="1"/>
  <c r="N188" i="7" s="1"/>
  <c r="O188" i="7" s="1"/>
  <c r="P188" i="7" s="1"/>
  <c r="Q188" i="7" s="1"/>
  <c r="R188" i="7" s="1"/>
  <c r="S188" i="7" s="1"/>
  <c r="T188" i="7" s="1"/>
  <c r="U188" i="7" s="1"/>
  <c r="V188" i="7" s="1"/>
  <c r="W188" i="7" s="1"/>
  <c r="X188" i="7" s="1"/>
  <c r="Y188" i="7" s="1"/>
  <c r="Z188" i="7" s="1"/>
  <c r="AA188" i="7" s="1"/>
  <c r="AB188" i="7" s="1"/>
  <c r="AC188" i="7" s="1"/>
  <c r="AD188" i="7" s="1"/>
  <c r="AE188" i="7" s="1"/>
  <c r="AF188" i="7" s="1"/>
  <c r="AG188" i="7" s="1"/>
  <c r="AH188" i="7" s="1"/>
  <c r="D166" i="7"/>
  <c r="E166" i="7" s="1"/>
  <c r="F166" i="7" s="1"/>
  <c r="G166" i="7" s="1"/>
  <c r="H166" i="7" s="1"/>
  <c r="I166" i="7" s="1"/>
  <c r="J166" i="7" s="1"/>
  <c r="K166" i="7" s="1"/>
  <c r="L166" i="7" s="1"/>
  <c r="M166" i="7" s="1"/>
  <c r="N166" i="7" s="1"/>
  <c r="O166" i="7" s="1"/>
  <c r="P166" i="7" s="1"/>
  <c r="Q166" i="7" s="1"/>
  <c r="R166" i="7" s="1"/>
  <c r="S166" i="7" s="1"/>
  <c r="T166" i="7" s="1"/>
  <c r="U166" i="7" s="1"/>
  <c r="V166" i="7" s="1"/>
  <c r="W166" i="7" s="1"/>
  <c r="X166" i="7" s="1"/>
  <c r="Y166" i="7" s="1"/>
  <c r="Z166" i="7" s="1"/>
  <c r="AA166" i="7" s="1"/>
  <c r="AB166" i="7" s="1"/>
  <c r="AC166" i="7" s="1"/>
  <c r="AD166" i="7" s="1"/>
  <c r="AE166" i="7" s="1"/>
  <c r="AF166" i="7" s="1"/>
  <c r="AG166" i="7" s="1"/>
  <c r="AH166" i="7" s="1"/>
  <c r="D172" i="7"/>
  <c r="E172" i="7" s="1"/>
  <c r="F172" i="7" s="1"/>
  <c r="G172" i="7" s="1"/>
  <c r="H172" i="7" s="1"/>
  <c r="I172" i="7" s="1"/>
  <c r="J172" i="7" s="1"/>
  <c r="K172" i="7" s="1"/>
  <c r="L172" i="7" s="1"/>
  <c r="M172" i="7" s="1"/>
  <c r="N172" i="7" s="1"/>
  <c r="O172" i="7" s="1"/>
  <c r="P172" i="7" s="1"/>
  <c r="Q172" i="7" s="1"/>
  <c r="R172" i="7" s="1"/>
  <c r="S172" i="7" s="1"/>
  <c r="T172" i="7" s="1"/>
  <c r="U172" i="7" s="1"/>
  <c r="V172" i="7" s="1"/>
  <c r="W172" i="7" s="1"/>
  <c r="X172" i="7" s="1"/>
  <c r="Y172" i="7" s="1"/>
  <c r="Z172" i="7" s="1"/>
  <c r="AA172" i="7" s="1"/>
  <c r="AB172" i="7" s="1"/>
  <c r="AC172" i="7" s="1"/>
  <c r="AD172" i="7" s="1"/>
  <c r="AE172" i="7" s="1"/>
  <c r="AF172" i="7" s="1"/>
  <c r="AG172" i="7" s="1"/>
  <c r="AH172" i="7" s="1"/>
  <c r="D156" i="7"/>
  <c r="E156" i="7" s="1"/>
  <c r="F156" i="7" s="1"/>
  <c r="G156" i="7" s="1"/>
  <c r="H156" i="7" s="1"/>
  <c r="I156" i="7" s="1"/>
  <c r="J156" i="7" s="1"/>
  <c r="K156" i="7" s="1"/>
  <c r="L156" i="7" s="1"/>
  <c r="M156" i="7" s="1"/>
  <c r="N156" i="7" s="1"/>
  <c r="O156" i="7" s="1"/>
  <c r="P156" i="7" s="1"/>
  <c r="Q156" i="7" s="1"/>
  <c r="R156" i="7" s="1"/>
  <c r="S156" i="7" s="1"/>
  <c r="T156" i="7" s="1"/>
  <c r="U156" i="7" s="1"/>
  <c r="V156" i="7" s="1"/>
  <c r="W156" i="7" s="1"/>
  <c r="X156" i="7" s="1"/>
  <c r="Y156" i="7" s="1"/>
  <c r="Z156" i="7" s="1"/>
  <c r="AA156" i="7" s="1"/>
  <c r="AB156" i="7" s="1"/>
  <c r="AC156" i="7" s="1"/>
  <c r="AD156" i="7" s="1"/>
  <c r="AE156" i="7" s="1"/>
  <c r="AF156" i="7" s="1"/>
  <c r="AG156" i="7" s="1"/>
  <c r="AH156" i="7" s="1"/>
  <c r="D158" i="7"/>
  <c r="E158" i="7" s="1"/>
  <c r="F158" i="7" s="1"/>
  <c r="G158" i="7" s="1"/>
  <c r="H158" i="7" s="1"/>
  <c r="I158" i="7" s="1"/>
  <c r="J158" i="7" s="1"/>
  <c r="K158" i="7" s="1"/>
  <c r="L158" i="7" s="1"/>
  <c r="M158" i="7" s="1"/>
  <c r="N158" i="7" s="1"/>
  <c r="O158" i="7" s="1"/>
  <c r="P158" i="7" s="1"/>
  <c r="Q158" i="7" s="1"/>
  <c r="R158" i="7" s="1"/>
  <c r="S158" i="7" s="1"/>
  <c r="T158" i="7" s="1"/>
  <c r="U158" i="7" s="1"/>
  <c r="V158" i="7" s="1"/>
  <c r="W158" i="7" s="1"/>
  <c r="X158" i="7" s="1"/>
  <c r="Y158" i="7" s="1"/>
  <c r="Z158" i="7" s="1"/>
  <c r="AA158" i="7" s="1"/>
  <c r="AB158" i="7" s="1"/>
  <c r="AC158" i="7" s="1"/>
  <c r="AD158" i="7" s="1"/>
  <c r="AE158" i="7" s="1"/>
  <c r="AF158" i="7" s="1"/>
  <c r="AG158" i="7" s="1"/>
  <c r="AH158" i="7" s="1"/>
  <c r="D119" i="7"/>
  <c r="E119" i="7" s="1"/>
  <c r="F119" i="7" s="1"/>
  <c r="G119" i="7" s="1"/>
  <c r="H119" i="7" s="1"/>
  <c r="I119" i="7" s="1"/>
  <c r="J119" i="7" s="1"/>
  <c r="K119" i="7" s="1"/>
  <c r="L119" i="7" s="1"/>
  <c r="M119" i="7" s="1"/>
  <c r="N119" i="7" s="1"/>
  <c r="O119" i="7" s="1"/>
  <c r="P119" i="7" s="1"/>
  <c r="Q119" i="7" s="1"/>
  <c r="R119" i="7" s="1"/>
  <c r="S119" i="7" s="1"/>
  <c r="T119" i="7" s="1"/>
  <c r="U119" i="7" s="1"/>
  <c r="V119" i="7" s="1"/>
  <c r="W119" i="7" s="1"/>
  <c r="X119" i="7" s="1"/>
  <c r="Y119" i="7" s="1"/>
  <c r="Z119" i="7" s="1"/>
  <c r="AA119" i="7" s="1"/>
  <c r="AB119" i="7" s="1"/>
  <c r="AC119" i="7" s="1"/>
  <c r="AD119" i="7" s="1"/>
  <c r="AE119" i="7" s="1"/>
  <c r="AF119" i="7" s="1"/>
  <c r="AG119" i="7" s="1"/>
  <c r="AH119" i="7" s="1"/>
  <c r="D135" i="7"/>
  <c r="E135" i="7" s="1"/>
  <c r="F135" i="7" s="1"/>
  <c r="G135" i="7" s="1"/>
  <c r="H135" i="7" s="1"/>
  <c r="I135" i="7" s="1"/>
  <c r="J135" i="7" s="1"/>
  <c r="K135" i="7" s="1"/>
  <c r="L135" i="7" s="1"/>
  <c r="M135" i="7" s="1"/>
  <c r="N135" i="7" s="1"/>
  <c r="O135" i="7" s="1"/>
  <c r="P135" i="7" s="1"/>
  <c r="Q135" i="7" s="1"/>
  <c r="R135" i="7" s="1"/>
  <c r="S135" i="7" s="1"/>
  <c r="T135" i="7" s="1"/>
  <c r="U135" i="7" s="1"/>
  <c r="V135" i="7" s="1"/>
  <c r="W135" i="7" s="1"/>
  <c r="X135" i="7" s="1"/>
  <c r="Y135" i="7" s="1"/>
  <c r="Z135" i="7" s="1"/>
  <c r="AA135" i="7" s="1"/>
  <c r="AB135" i="7" s="1"/>
  <c r="AC135" i="7" s="1"/>
  <c r="AD135" i="7" s="1"/>
  <c r="AE135" i="7" s="1"/>
  <c r="AF135" i="7" s="1"/>
  <c r="AG135" i="7" s="1"/>
  <c r="AH135" i="7" s="1"/>
  <c r="D90" i="7"/>
  <c r="E90" i="7" s="1"/>
  <c r="F90" i="7" s="1"/>
  <c r="G90" i="7" s="1"/>
  <c r="H90" i="7" s="1"/>
  <c r="I90" i="7" s="1"/>
  <c r="J90" i="7" s="1"/>
  <c r="K90" i="7" s="1"/>
  <c r="L90" i="7" s="1"/>
  <c r="M90" i="7" s="1"/>
  <c r="N90" i="7" s="1"/>
  <c r="O90" i="7" s="1"/>
  <c r="P90" i="7" s="1"/>
  <c r="Q90" i="7" s="1"/>
  <c r="R90" i="7" s="1"/>
  <c r="S90" i="7" s="1"/>
  <c r="T90" i="7" s="1"/>
  <c r="U90" i="7" s="1"/>
  <c r="V90" i="7" s="1"/>
  <c r="W90" i="7" s="1"/>
  <c r="X90" i="7" s="1"/>
  <c r="Y90" i="7" s="1"/>
  <c r="Z90" i="7" s="1"/>
  <c r="AA90" i="7" s="1"/>
  <c r="AB90" i="7" s="1"/>
  <c r="AC90" i="7" s="1"/>
  <c r="AD90" i="7" s="1"/>
  <c r="AE90" i="7" s="1"/>
  <c r="AF90" i="7" s="1"/>
  <c r="AG90" i="7" s="1"/>
  <c r="AH90" i="7" s="1"/>
  <c r="D86" i="7"/>
  <c r="E86" i="7" s="1"/>
  <c r="F86" i="7" s="1"/>
  <c r="G86" i="7" s="1"/>
  <c r="H86" i="7" s="1"/>
  <c r="I86" i="7" s="1"/>
  <c r="J86" i="7" s="1"/>
  <c r="K86" i="7" s="1"/>
  <c r="L86" i="7" s="1"/>
  <c r="M86" i="7" s="1"/>
  <c r="N86" i="7" s="1"/>
  <c r="O86" i="7" s="1"/>
  <c r="P86" i="7" s="1"/>
  <c r="Q86" i="7" s="1"/>
  <c r="R86" i="7" s="1"/>
  <c r="S86" i="7" s="1"/>
  <c r="T86" i="7" s="1"/>
  <c r="U86" i="7" s="1"/>
  <c r="V86" i="7" s="1"/>
  <c r="W86" i="7" s="1"/>
  <c r="X86" i="7" s="1"/>
  <c r="Y86" i="7" s="1"/>
  <c r="Z86" i="7" s="1"/>
  <c r="AA86" i="7" s="1"/>
  <c r="AB86" i="7" s="1"/>
  <c r="AC86" i="7" s="1"/>
  <c r="AD86" i="7" s="1"/>
  <c r="AE86" i="7" s="1"/>
  <c r="AF86" i="7" s="1"/>
  <c r="AG86" i="7" s="1"/>
  <c r="AH86" i="7" s="1"/>
  <c r="D82" i="7"/>
  <c r="E82" i="7" s="1"/>
  <c r="F82" i="7" s="1"/>
  <c r="G82" i="7" s="1"/>
  <c r="H82" i="7" s="1"/>
  <c r="I82" i="7" s="1"/>
  <c r="J82" i="7" s="1"/>
  <c r="K82" i="7" s="1"/>
  <c r="L82" i="7" s="1"/>
  <c r="M82" i="7" s="1"/>
  <c r="N82" i="7" s="1"/>
  <c r="O82" i="7" s="1"/>
  <c r="P82" i="7" s="1"/>
  <c r="Q82" i="7" s="1"/>
  <c r="R82" i="7" s="1"/>
  <c r="S82" i="7" s="1"/>
  <c r="T82" i="7" s="1"/>
  <c r="U82" i="7" s="1"/>
  <c r="V82" i="7" s="1"/>
  <c r="W82" i="7" s="1"/>
  <c r="X82" i="7" s="1"/>
  <c r="Y82" i="7" s="1"/>
  <c r="Z82" i="7" s="1"/>
  <c r="AA82" i="7" s="1"/>
  <c r="AB82" i="7" s="1"/>
  <c r="AC82" i="7" s="1"/>
  <c r="AD82" i="7" s="1"/>
  <c r="AE82" i="7" s="1"/>
  <c r="AF82" i="7" s="1"/>
  <c r="AG82" i="7" s="1"/>
  <c r="AH82" i="7" s="1"/>
  <c r="D66" i="7"/>
  <c r="E66" i="7" s="1"/>
  <c r="F66" i="7" s="1"/>
  <c r="G66" i="7" s="1"/>
  <c r="H66" i="7" s="1"/>
  <c r="I66" i="7" s="1"/>
  <c r="J66" i="7" s="1"/>
  <c r="K66" i="7" s="1"/>
  <c r="L66" i="7" s="1"/>
  <c r="M66" i="7" s="1"/>
  <c r="N66" i="7" s="1"/>
  <c r="O66" i="7" s="1"/>
  <c r="P66" i="7" s="1"/>
  <c r="Q66" i="7" s="1"/>
  <c r="R66" i="7" s="1"/>
  <c r="S66" i="7" s="1"/>
  <c r="T66" i="7" s="1"/>
  <c r="U66" i="7" s="1"/>
  <c r="V66" i="7" s="1"/>
  <c r="W66" i="7" s="1"/>
  <c r="X66" i="7" s="1"/>
  <c r="Y66" i="7" s="1"/>
  <c r="Z66" i="7" s="1"/>
  <c r="AA66" i="7" s="1"/>
  <c r="AB66" i="7" s="1"/>
  <c r="AC66" i="7" s="1"/>
  <c r="AD66" i="7" s="1"/>
  <c r="AE66" i="7" s="1"/>
  <c r="AF66" i="7" s="1"/>
  <c r="AG66" i="7" s="1"/>
  <c r="AH66" i="7" s="1"/>
  <c r="D59" i="7"/>
  <c r="E59" i="7" s="1"/>
  <c r="F59" i="7" s="1"/>
  <c r="G59" i="7" s="1"/>
  <c r="H59" i="7" s="1"/>
  <c r="I59" i="7" s="1"/>
  <c r="J59" i="7" s="1"/>
  <c r="K59" i="7" s="1"/>
  <c r="L59" i="7" s="1"/>
  <c r="M59" i="7" s="1"/>
  <c r="N59" i="7" s="1"/>
  <c r="O59" i="7" s="1"/>
  <c r="P59" i="7" s="1"/>
  <c r="Q59" i="7" s="1"/>
  <c r="R59" i="7" s="1"/>
  <c r="S59" i="7" s="1"/>
  <c r="T59" i="7" s="1"/>
  <c r="U59" i="7" s="1"/>
  <c r="V59" i="7" s="1"/>
  <c r="W59" i="7" s="1"/>
  <c r="X59" i="7" s="1"/>
  <c r="Y59" i="7" s="1"/>
  <c r="Z59" i="7" s="1"/>
  <c r="AA59" i="7" s="1"/>
  <c r="AB59" i="7" s="1"/>
  <c r="AC59" i="7" s="1"/>
  <c r="AD59" i="7" s="1"/>
  <c r="AE59" i="7" s="1"/>
  <c r="AF59" i="7" s="1"/>
  <c r="AG59" i="7" s="1"/>
  <c r="AH59" i="7" s="1"/>
  <c r="D36" i="7"/>
  <c r="E36" i="7" s="1"/>
  <c r="F36" i="7" s="1"/>
  <c r="G36" i="7" s="1"/>
  <c r="H36" i="7" s="1"/>
  <c r="I36" i="7" s="1"/>
  <c r="J36" i="7" s="1"/>
  <c r="K36" i="7" s="1"/>
  <c r="L36" i="7" s="1"/>
  <c r="M36" i="7" s="1"/>
  <c r="N36" i="7" s="1"/>
  <c r="O36" i="7" s="1"/>
  <c r="P36" i="7" s="1"/>
  <c r="Q36" i="7" s="1"/>
  <c r="R36" i="7" s="1"/>
  <c r="S36" i="7" s="1"/>
  <c r="T36" i="7" s="1"/>
  <c r="U36" i="7" s="1"/>
  <c r="V36" i="7" s="1"/>
  <c r="W36" i="7" s="1"/>
  <c r="X36" i="7" s="1"/>
  <c r="Y36" i="7" s="1"/>
  <c r="Z36" i="7" s="1"/>
  <c r="AA36" i="7" s="1"/>
  <c r="AB36" i="7" s="1"/>
  <c r="AC36" i="7" s="1"/>
  <c r="AD36" i="7" s="1"/>
  <c r="AE36" i="7" s="1"/>
  <c r="AF36" i="7" s="1"/>
  <c r="AG36" i="7" s="1"/>
  <c r="AH36" i="7" s="1"/>
  <c r="D198" i="7"/>
  <c r="E198" i="7" s="1"/>
  <c r="F198" i="7" s="1"/>
  <c r="G198" i="7" s="1"/>
  <c r="H198" i="7" s="1"/>
  <c r="I198" i="7" s="1"/>
  <c r="J198" i="7" s="1"/>
  <c r="K198" i="7" s="1"/>
  <c r="L198" i="7" s="1"/>
  <c r="M198" i="7" s="1"/>
  <c r="N198" i="7" s="1"/>
  <c r="O198" i="7" s="1"/>
  <c r="P198" i="7" s="1"/>
  <c r="Q198" i="7" s="1"/>
  <c r="R198" i="7" s="1"/>
  <c r="S198" i="7" s="1"/>
  <c r="T198" i="7" s="1"/>
  <c r="U198" i="7" s="1"/>
  <c r="V198" i="7" s="1"/>
  <c r="W198" i="7" s="1"/>
  <c r="X198" i="7" s="1"/>
  <c r="Y198" i="7" s="1"/>
  <c r="Z198" i="7" s="1"/>
  <c r="AA198" i="7" s="1"/>
  <c r="AB198" i="7" s="1"/>
  <c r="AC198" i="7" s="1"/>
  <c r="AD198" i="7" s="1"/>
  <c r="AE198" i="7" s="1"/>
  <c r="AF198" i="7" s="1"/>
  <c r="AG198" i="7" s="1"/>
  <c r="AH198" i="7" s="1"/>
  <c r="D186" i="7"/>
  <c r="E186" i="7" s="1"/>
  <c r="F186" i="7" s="1"/>
  <c r="G186" i="7" s="1"/>
  <c r="H186" i="7" s="1"/>
  <c r="I186" i="7" s="1"/>
  <c r="J186" i="7" s="1"/>
  <c r="K186" i="7" s="1"/>
  <c r="L186" i="7" s="1"/>
  <c r="M186" i="7" s="1"/>
  <c r="N186" i="7" s="1"/>
  <c r="O186" i="7" s="1"/>
  <c r="P186" i="7" s="1"/>
  <c r="Q186" i="7" s="1"/>
  <c r="R186" i="7" s="1"/>
  <c r="S186" i="7" s="1"/>
  <c r="T186" i="7" s="1"/>
  <c r="U186" i="7" s="1"/>
  <c r="V186" i="7" s="1"/>
  <c r="W186" i="7" s="1"/>
  <c r="X186" i="7" s="1"/>
  <c r="Y186" i="7" s="1"/>
  <c r="Z186" i="7" s="1"/>
  <c r="AA186" i="7" s="1"/>
  <c r="AB186" i="7" s="1"/>
  <c r="AC186" i="7" s="1"/>
  <c r="AD186" i="7" s="1"/>
  <c r="AE186" i="7" s="1"/>
  <c r="AF186" i="7" s="1"/>
  <c r="AG186" i="7" s="1"/>
  <c r="AH186" i="7" s="1"/>
  <c r="D160" i="7"/>
  <c r="E160" i="7" s="1"/>
  <c r="F160" i="7" s="1"/>
  <c r="G160" i="7" s="1"/>
  <c r="H160" i="7" s="1"/>
  <c r="I160" i="7" s="1"/>
  <c r="J160" i="7" s="1"/>
  <c r="K160" i="7" s="1"/>
  <c r="L160" i="7" s="1"/>
  <c r="M160" i="7" s="1"/>
  <c r="N160" i="7" s="1"/>
  <c r="O160" i="7" s="1"/>
  <c r="P160" i="7" s="1"/>
  <c r="Q160" i="7" s="1"/>
  <c r="R160" i="7" s="1"/>
  <c r="S160" i="7" s="1"/>
  <c r="T160" i="7" s="1"/>
  <c r="U160" i="7" s="1"/>
  <c r="V160" i="7" s="1"/>
  <c r="W160" i="7" s="1"/>
  <c r="X160" i="7" s="1"/>
  <c r="Y160" i="7" s="1"/>
  <c r="Z160" i="7" s="1"/>
  <c r="AA160" i="7" s="1"/>
  <c r="AB160" i="7" s="1"/>
  <c r="AC160" i="7" s="1"/>
  <c r="AD160" i="7" s="1"/>
  <c r="AE160" i="7" s="1"/>
  <c r="AF160" i="7" s="1"/>
  <c r="AG160" i="7" s="1"/>
  <c r="AH160" i="7" s="1"/>
  <c r="D146" i="7"/>
  <c r="E146" i="7" s="1"/>
  <c r="F146" i="7" s="1"/>
  <c r="G146" i="7" s="1"/>
  <c r="H146" i="7" s="1"/>
  <c r="I146" i="7" s="1"/>
  <c r="J146" i="7" s="1"/>
  <c r="K146" i="7" s="1"/>
  <c r="L146" i="7" s="1"/>
  <c r="M146" i="7" s="1"/>
  <c r="N146" i="7" s="1"/>
  <c r="O146" i="7" s="1"/>
  <c r="P146" i="7" s="1"/>
  <c r="Q146" i="7" s="1"/>
  <c r="R146" i="7" s="1"/>
  <c r="S146" i="7" s="1"/>
  <c r="T146" i="7" s="1"/>
  <c r="U146" i="7" s="1"/>
  <c r="V146" i="7" s="1"/>
  <c r="W146" i="7" s="1"/>
  <c r="X146" i="7" s="1"/>
  <c r="Y146" i="7" s="1"/>
  <c r="Z146" i="7" s="1"/>
  <c r="AA146" i="7" s="1"/>
  <c r="AB146" i="7" s="1"/>
  <c r="AC146" i="7" s="1"/>
  <c r="AD146" i="7" s="1"/>
  <c r="AE146" i="7" s="1"/>
  <c r="AF146" i="7" s="1"/>
  <c r="AG146" i="7" s="1"/>
  <c r="AH146" i="7" s="1"/>
  <c r="D130" i="7"/>
  <c r="E130" i="7" s="1"/>
  <c r="F130" i="7" s="1"/>
  <c r="G130" i="7" s="1"/>
  <c r="H130" i="7" s="1"/>
  <c r="I130" i="7" s="1"/>
  <c r="J130" i="7" s="1"/>
  <c r="K130" i="7" s="1"/>
  <c r="L130" i="7" s="1"/>
  <c r="M130" i="7" s="1"/>
  <c r="N130" i="7" s="1"/>
  <c r="O130" i="7" s="1"/>
  <c r="P130" i="7" s="1"/>
  <c r="Q130" i="7" s="1"/>
  <c r="R130" i="7" s="1"/>
  <c r="S130" i="7" s="1"/>
  <c r="T130" i="7" s="1"/>
  <c r="U130" i="7" s="1"/>
  <c r="V130" i="7" s="1"/>
  <c r="W130" i="7" s="1"/>
  <c r="X130" i="7" s="1"/>
  <c r="Y130" i="7" s="1"/>
  <c r="Z130" i="7" s="1"/>
  <c r="AA130" i="7" s="1"/>
  <c r="AB130" i="7" s="1"/>
  <c r="AC130" i="7" s="1"/>
  <c r="AD130" i="7" s="1"/>
  <c r="AE130" i="7" s="1"/>
  <c r="AF130" i="7" s="1"/>
  <c r="AG130" i="7" s="1"/>
  <c r="AH130" i="7" s="1"/>
  <c r="D74" i="7"/>
  <c r="E74" i="7" s="1"/>
  <c r="F74" i="7" s="1"/>
  <c r="G74" i="7" s="1"/>
  <c r="H74" i="7" s="1"/>
  <c r="I74" i="7" s="1"/>
  <c r="J74" i="7" s="1"/>
  <c r="K74" i="7" s="1"/>
  <c r="L74" i="7" s="1"/>
  <c r="M74" i="7" s="1"/>
  <c r="N74" i="7" s="1"/>
  <c r="O74" i="7" s="1"/>
  <c r="P74" i="7" s="1"/>
  <c r="Q74" i="7" s="1"/>
  <c r="R74" i="7" s="1"/>
  <c r="S74" i="7" s="1"/>
  <c r="T74" i="7" s="1"/>
  <c r="U74" i="7" s="1"/>
  <c r="V74" i="7" s="1"/>
  <c r="W74" i="7" s="1"/>
  <c r="X74" i="7" s="1"/>
  <c r="Y74" i="7" s="1"/>
  <c r="Z74" i="7" s="1"/>
  <c r="AA74" i="7" s="1"/>
  <c r="AB74" i="7" s="1"/>
  <c r="AC74" i="7" s="1"/>
  <c r="AD74" i="7" s="1"/>
  <c r="AE74" i="7" s="1"/>
  <c r="AF74" i="7" s="1"/>
  <c r="AG74" i="7" s="1"/>
  <c r="AH74" i="7" s="1"/>
  <c r="D53" i="7"/>
  <c r="E53" i="7" s="1"/>
  <c r="F53" i="7" s="1"/>
  <c r="G53" i="7" s="1"/>
  <c r="H53" i="7" s="1"/>
  <c r="I53" i="7" s="1"/>
  <c r="J53" i="7" s="1"/>
  <c r="K53" i="7" s="1"/>
  <c r="L53" i="7" s="1"/>
  <c r="M53" i="7" s="1"/>
  <c r="N53" i="7" s="1"/>
  <c r="O53" i="7" s="1"/>
  <c r="P53" i="7" s="1"/>
  <c r="Q53" i="7" s="1"/>
  <c r="R53" i="7" s="1"/>
  <c r="S53" i="7" s="1"/>
  <c r="T53" i="7" s="1"/>
  <c r="U53" i="7" s="1"/>
  <c r="V53" i="7" s="1"/>
  <c r="W53" i="7" s="1"/>
  <c r="X53" i="7" s="1"/>
  <c r="Y53" i="7" s="1"/>
  <c r="Z53" i="7" s="1"/>
  <c r="AA53" i="7" s="1"/>
  <c r="AB53" i="7" s="1"/>
  <c r="AC53" i="7" s="1"/>
  <c r="AD53" i="7" s="1"/>
  <c r="AE53" i="7" s="1"/>
  <c r="AF53" i="7" s="1"/>
  <c r="AG53" i="7" s="1"/>
  <c r="AH53" i="7" s="1"/>
  <c r="D47" i="7"/>
  <c r="E47" i="7" s="1"/>
  <c r="F47" i="7" s="1"/>
  <c r="G47" i="7" s="1"/>
  <c r="H47" i="7" s="1"/>
  <c r="I47" i="7" s="1"/>
  <c r="J47" i="7" s="1"/>
  <c r="K47" i="7" s="1"/>
  <c r="L47" i="7" s="1"/>
  <c r="M47" i="7" s="1"/>
  <c r="N47" i="7" s="1"/>
  <c r="O47" i="7" s="1"/>
  <c r="P47" i="7" s="1"/>
  <c r="Q47" i="7" s="1"/>
  <c r="R47" i="7" s="1"/>
  <c r="S47" i="7" s="1"/>
  <c r="T47" i="7" s="1"/>
  <c r="U47" i="7" s="1"/>
  <c r="V47" i="7" s="1"/>
  <c r="W47" i="7" s="1"/>
  <c r="X47" i="7" s="1"/>
  <c r="Y47" i="7" s="1"/>
  <c r="Z47" i="7" s="1"/>
  <c r="AA47" i="7" s="1"/>
  <c r="AB47" i="7" s="1"/>
  <c r="AC47" i="7" s="1"/>
  <c r="AD47" i="7" s="1"/>
  <c r="AE47" i="7" s="1"/>
  <c r="AF47" i="7" s="1"/>
  <c r="AG47" i="7" s="1"/>
  <c r="AH47" i="7" s="1"/>
  <c r="D178" i="7"/>
  <c r="E178" i="7" s="1"/>
  <c r="F178" i="7" s="1"/>
  <c r="G178" i="7" s="1"/>
  <c r="H178" i="7" s="1"/>
  <c r="I178" i="7" s="1"/>
  <c r="J178" i="7" s="1"/>
  <c r="K178" i="7" s="1"/>
  <c r="L178" i="7" s="1"/>
  <c r="M178" i="7" s="1"/>
  <c r="N178" i="7" s="1"/>
  <c r="O178" i="7" s="1"/>
  <c r="P178" i="7" s="1"/>
  <c r="Q178" i="7" s="1"/>
  <c r="R178" i="7" s="1"/>
  <c r="S178" i="7" s="1"/>
  <c r="T178" i="7" s="1"/>
  <c r="U178" i="7" s="1"/>
  <c r="V178" i="7" s="1"/>
  <c r="W178" i="7" s="1"/>
  <c r="X178" i="7" s="1"/>
  <c r="Y178" i="7" s="1"/>
  <c r="Z178" i="7" s="1"/>
  <c r="AA178" i="7" s="1"/>
  <c r="AB178" i="7" s="1"/>
  <c r="AC178" i="7" s="1"/>
  <c r="AD178" i="7" s="1"/>
  <c r="AE178" i="7" s="1"/>
  <c r="AF178" i="7" s="1"/>
  <c r="AG178" i="7" s="1"/>
  <c r="AH178" i="7" s="1"/>
  <c r="D177" i="7"/>
  <c r="E177" i="7" s="1"/>
  <c r="F177" i="7" s="1"/>
  <c r="G177" i="7" s="1"/>
  <c r="H177" i="7" s="1"/>
  <c r="I177" i="7" s="1"/>
  <c r="J177" i="7" s="1"/>
  <c r="K177" i="7" s="1"/>
  <c r="L177" i="7" s="1"/>
  <c r="M177" i="7" s="1"/>
  <c r="N177" i="7" s="1"/>
  <c r="O177" i="7" s="1"/>
  <c r="P177" i="7" s="1"/>
  <c r="Q177" i="7" s="1"/>
  <c r="R177" i="7" s="1"/>
  <c r="S177" i="7" s="1"/>
  <c r="T177" i="7" s="1"/>
  <c r="U177" i="7" s="1"/>
  <c r="V177" i="7" s="1"/>
  <c r="W177" i="7" s="1"/>
  <c r="X177" i="7" s="1"/>
  <c r="Y177" i="7" s="1"/>
  <c r="Z177" i="7" s="1"/>
  <c r="AA177" i="7" s="1"/>
  <c r="AB177" i="7" s="1"/>
  <c r="AC177" i="7" s="1"/>
  <c r="AD177" i="7" s="1"/>
  <c r="AE177" i="7" s="1"/>
  <c r="AF177" i="7" s="1"/>
  <c r="AG177" i="7" s="1"/>
  <c r="AH177" i="7" s="1"/>
  <c r="D95" i="7"/>
  <c r="E95" i="7" s="1"/>
  <c r="F95" i="7" s="1"/>
  <c r="G95" i="7" s="1"/>
  <c r="H95" i="7" s="1"/>
  <c r="I95" i="7" s="1"/>
  <c r="J95" i="7" s="1"/>
  <c r="K95" i="7" s="1"/>
  <c r="L95" i="7" s="1"/>
  <c r="M95" i="7" s="1"/>
  <c r="N95" i="7" s="1"/>
  <c r="O95" i="7" s="1"/>
  <c r="P95" i="7" s="1"/>
  <c r="Q95" i="7" s="1"/>
  <c r="R95" i="7" s="1"/>
  <c r="S95" i="7" s="1"/>
  <c r="T95" i="7" s="1"/>
  <c r="U95" i="7" s="1"/>
  <c r="V95" i="7" s="1"/>
  <c r="W95" i="7" s="1"/>
  <c r="X95" i="7" s="1"/>
  <c r="Y95" i="7" s="1"/>
  <c r="Z95" i="7" s="1"/>
  <c r="AA95" i="7" s="1"/>
  <c r="AB95" i="7" s="1"/>
  <c r="AC95" i="7" s="1"/>
  <c r="AD95" i="7" s="1"/>
  <c r="AE95" i="7" s="1"/>
  <c r="AF95" i="7" s="1"/>
  <c r="AG95" i="7" s="1"/>
  <c r="AH95" i="7" s="1"/>
  <c r="D111" i="7"/>
  <c r="E111" i="7" s="1"/>
  <c r="F111" i="7" s="1"/>
  <c r="G111" i="7" s="1"/>
  <c r="H111" i="7" s="1"/>
  <c r="I111" i="7" s="1"/>
  <c r="J111" i="7" s="1"/>
  <c r="K111" i="7" s="1"/>
  <c r="L111" i="7" s="1"/>
  <c r="M111" i="7" s="1"/>
  <c r="N111" i="7" s="1"/>
  <c r="O111" i="7" s="1"/>
  <c r="P111" i="7" s="1"/>
  <c r="Q111" i="7" s="1"/>
  <c r="R111" i="7" s="1"/>
  <c r="S111" i="7" s="1"/>
  <c r="T111" i="7" s="1"/>
  <c r="U111" i="7" s="1"/>
  <c r="V111" i="7" s="1"/>
  <c r="W111" i="7" s="1"/>
  <c r="X111" i="7" s="1"/>
  <c r="Y111" i="7" s="1"/>
  <c r="Z111" i="7" s="1"/>
  <c r="AA111" i="7" s="1"/>
  <c r="AB111" i="7" s="1"/>
  <c r="AC111" i="7" s="1"/>
  <c r="AD111" i="7" s="1"/>
  <c r="AE111" i="7" s="1"/>
  <c r="AF111" i="7" s="1"/>
  <c r="AG111" i="7" s="1"/>
  <c r="AH111" i="7" s="1"/>
  <c r="D52" i="7"/>
  <c r="E52" i="7" s="1"/>
  <c r="F52" i="7" s="1"/>
  <c r="G52" i="7" s="1"/>
  <c r="H52" i="7" s="1"/>
  <c r="I52" i="7" s="1"/>
  <c r="J52" i="7" s="1"/>
  <c r="K52" i="7" s="1"/>
  <c r="L52" i="7" s="1"/>
  <c r="M52" i="7" s="1"/>
  <c r="N52" i="7" s="1"/>
  <c r="O52" i="7" s="1"/>
  <c r="P52" i="7" s="1"/>
  <c r="Q52" i="7" s="1"/>
  <c r="R52" i="7" s="1"/>
  <c r="S52" i="7" s="1"/>
  <c r="T52" i="7" s="1"/>
  <c r="U52" i="7" s="1"/>
  <c r="V52" i="7" s="1"/>
  <c r="W52" i="7" s="1"/>
  <c r="X52" i="7" s="1"/>
  <c r="Y52" i="7" s="1"/>
  <c r="Z52" i="7" s="1"/>
  <c r="AA52" i="7" s="1"/>
  <c r="AB52" i="7" s="1"/>
  <c r="AC52" i="7" s="1"/>
  <c r="AD52" i="7" s="1"/>
  <c r="AE52" i="7" s="1"/>
  <c r="AF52" i="7" s="1"/>
  <c r="AG52" i="7" s="1"/>
  <c r="AH52" i="7" s="1"/>
  <c r="D170" i="7"/>
  <c r="E170" i="7" s="1"/>
  <c r="F170" i="7" s="1"/>
  <c r="G170" i="7" s="1"/>
  <c r="H170" i="7" s="1"/>
  <c r="I170" i="7" s="1"/>
  <c r="J170" i="7" s="1"/>
  <c r="K170" i="7" s="1"/>
  <c r="L170" i="7" s="1"/>
  <c r="M170" i="7" s="1"/>
  <c r="N170" i="7" s="1"/>
  <c r="O170" i="7" s="1"/>
  <c r="P170" i="7" s="1"/>
  <c r="Q170" i="7" s="1"/>
  <c r="R170" i="7" s="1"/>
  <c r="S170" i="7" s="1"/>
  <c r="T170" i="7" s="1"/>
  <c r="U170" i="7" s="1"/>
  <c r="V170" i="7" s="1"/>
  <c r="W170" i="7" s="1"/>
  <c r="X170" i="7" s="1"/>
  <c r="Y170" i="7" s="1"/>
  <c r="Z170" i="7" s="1"/>
  <c r="AA170" i="7" s="1"/>
  <c r="AB170" i="7" s="1"/>
  <c r="AC170" i="7" s="1"/>
  <c r="AD170" i="7" s="1"/>
  <c r="AE170" i="7" s="1"/>
  <c r="AF170" i="7" s="1"/>
  <c r="AG170" i="7" s="1"/>
  <c r="AH170" i="7" s="1"/>
  <c r="D30" i="7"/>
  <c r="E30" i="7" s="1"/>
  <c r="F30" i="7" s="1"/>
  <c r="G30" i="7" s="1"/>
  <c r="H30" i="7" s="1"/>
  <c r="I30" i="7" s="1"/>
  <c r="J30" i="7" s="1"/>
  <c r="K30" i="7" s="1"/>
  <c r="L30" i="7" s="1"/>
  <c r="M30" i="7" s="1"/>
  <c r="N30" i="7" s="1"/>
  <c r="O30" i="7" s="1"/>
  <c r="P30" i="7" s="1"/>
  <c r="Q30" i="7" s="1"/>
  <c r="R30" i="7" s="1"/>
  <c r="S30" i="7" s="1"/>
  <c r="T30" i="7" s="1"/>
  <c r="U30" i="7" s="1"/>
  <c r="V30" i="7" s="1"/>
  <c r="W30" i="7" s="1"/>
  <c r="X30" i="7" s="1"/>
  <c r="Y30" i="7" s="1"/>
  <c r="Z30" i="7" s="1"/>
  <c r="AA30" i="7" s="1"/>
  <c r="AB30" i="7" s="1"/>
  <c r="AC30" i="7" s="1"/>
  <c r="AD30" i="7" s="1"/>
  <c r="AE30" i="7" s="1"/>
  <c r="AF30" i="7" s="1"/>
  <c r="AG30" i="7" s="1"/>
  <c r="AH30" i="7" s="1"/>
  <c r="D194" i="7"/>
  <c r="E194" i="7" s="1"/>
  <c r="F194" i="7" s="1"/>
  <c r="G194" i="7" s="1"/>
  <c r="H194" i="7" s="1"/>
  <c r="I194" i="7" s="1"/>
  <c r="J194" i="7" s="1"/>
  <c r="K194" i="7" s="1"/>
  <c r="L194" i="7" s="1"/>
  <c r="M194" i="7" s="1"/>
  <c r="N194" i="7" s="1"/>
  <c r="O194" i="7" s="1"/>
  <c r="P194" i="7" s="1"/>
  <c r="Q194" i="7" s="1"/>
  <c r="R194" i="7" s="1"/>
  <c r="S194" i="7" s="1"/>
  <c r="T194" i="7" s="1"/>
  <c r="U194" i="7" s="1"/>
  <c r="V194" i="7" s="1"/>
  <c r="W194" i="7" s="1"/>
  <c r="X194" i="7" s="1"/>
  <c r="Y194" i="7" s="1"/>
  <c r="Z194" i="7" s="1"/>
  <c r="AA194" i="7" s="1"/>
  <c r="AB194" i="7" s="1"/>
  <c r="AC194" i="7" s="1"/>
  <c r="AD194" i="7" s="1"/>
  <c r="AE194" i="7" s="1"/>
  <c r="AF194" i="7" s="1"/>
  <c r="AG194" i="7" s="1"/>
  <c r="AH194" i="7" s="1"/>
  <c r="D154" i="7"/>
  <c r="E154" i="7" s="1"/>
  <c r="F154" i="7" s="1"/>
  <c r="G154" i="7" s="1"/>
  <c r="H154" i="7" s="1"/>
  <c r="I154" i="7" s="1"/>
  <c r="J154" i="7" s="1"/>
  <c r="K154" i="7" s="1"/>
  <c r="L154" i="7" s="1"/>
  <c r="M154" i="7" s="1"/>
  <c r="N154" i="7" s="1"/>
  <c r="O154" i="7" s="1"/>
  <c r="P154" i="7" s="1"/>
  <c r="Q154" i="7" s="1"/>
  <c r="R154" i="7" s="1"/>
  <c r="S154" i="7" s="1"/>
  <c r="T154" i="7" s="1"/>
  <c r="U154" i="7" s="1"/>
  <c r="V154" i="7" s="1"/>
  <c r="W154" i="7" s="1"/>
  <c r="X154" i="7" s="1"/>
  <c r="Y154" i="7" s="1"/>
  <c r="Z154" i="7" s="1"/>
  <c r="AA154" i="7" s="1"/>
  <c r="AB154" i="7" s="1"/>
  <c r="AC154" i="7" s="1"/>
  <c r="AD154" i="7" s="1"/>
  <c r="AE154" i="7" s="1"/>
  <c r="AF154" i="7" s="1"/>
  <c r="AG154" i="7" s="1"/>
  <c r="AH154" i="7" s="1"/>
  <c r="D147" i="7"/>
  <c r="E147" i="7" s="1"/>
  <c r="F147" i="7" s="1"/>
  <c r="G147" i="7" s="1"/>
  <c r="H147" i="7" s="1"/>
  <c r="I147" i="7" s="1"/>
  <c r="J147" i="7" s="1"/>
  <c r="K147" i="7" s="1"/>
  <c r="L147" i="7" s="1"/>
  <c r="M147" i="7" s="1"/>
  <c r="N147" i="7" s="1"/>
  <c r="O147" i="7" s="1"/>
  <c r="P147" i="7" s="1"/>
  <c r="Q147" i="7" s="1"/>
  <c r="R147" i="7" s="1"/>
  <c r="S147" i="7" s="1"/>
  <c r="T147" i="7" s="1"/>
  <c r="U147" i="7" s="1"/>
  <c r="V147" i="7" s="1"/>
  <c r="W147" i="7" s="1"/>
  <c r="X147" i="7" s="1"/>
  <c r="Y147" i="7" s="1"/>
  <c r="Z147" i="7" s="1"/>
  <c r="AA147" i="7" s="1"/>
  <c r="AB147" i="7" s="1"/>
  <c r="AC147" i="7" s="1"/>
  <c r="AD147" i="7" s="1"/>
  <c r="AE147" i="7" s="1"/>
  <c r="AF147" i="7" s="1"/>
  <c r="AG147" i="7" s="1"/>
  <c r="AH147" i="7" s="1"/>
  <c r="D107" i="7"/>
  <c r="E107" i="7" s="1"/>
  <c r="F107" i="7" s="1"/>
  <c r="G107" i="7" s="1"/>
  <c r="H107" i="7" s="1"/>
  <c r="I107" i="7" s="1"/>
  <c r="J107" i="7" s="1"/>
  <c r="K107" i="7" s="1"/>
  <c r="L107" i="7" s="1"/>
  <c r="M107" i="7" s="1"/>
  <c r="N107" i="7" s="1"/>
  <c r="O107" i="7" s="1"/>
  <c r="P107" i="7" s="1"/>
  <c r="Q107" i="7" s="1"/>
  <c r="R107" i="7" s="1"/>
  <c r="S107" i="7" s="1"/>
  <c r="T107" i="7" s="1"/>
  <c r="U107" i="7" s="1"/>
  <c r="V107" i="7" s="1"/>
  <c r="W107" i="7" s="1"/>
  <c r="X107" i="7" s="1"/>
  <c r="Y107" i="7" s="1"/>
  <c r="Z107" i="7" s="1"/>
  <c r="AA107" i="7" s="1"/>
  <c r="AB107" i="7" s="1"/>
  <c r="AC107" i="7" s="1"/>
  <c r="AD107" i="7" s="1"/>
  <c r="AE107" i="7" s="1"/>
  <c r="AF107" i="7" s="1"/>
  <c r="AG107" i="7" s="1"/>
  <c r="AH107" i="7" s="1"/>
  <c r="D78" i="7"/>
  <c r="E78" i="7" s="1"/>
  <c r="F78" i="7" s="1"/>
  <c r="G78" i="7" s="1"/>
  <c r="H78" i="7" s="1"/>
  <c r="I78" i="7" s="1"/>
  <c r="J78" i="7" s="1"/>
  <c r="K78" i="7" s="1"/>
  <c r="L78" i="7" s="1"/>
  <c r="M78" i="7" s="1"/>
  <c r="N78" i="7" s="1"/>
  <c r="O78" i="7" s="1"/>
  <c r="P78" i="7" s="1"/>
  <c r="Q78" i="7" s="1"/>
  <c r="R78" i="7" s="1"/>
  <c r="S78" i="7" s="1"/>
  <c r="T78" i="7" s="1"/>
  <c r="U78" i="7" s="1"/>
  <c r="V78" i="7" s="1"/>
  <c r="W78" i="7" s="1"/>
  <c r="X78" i="7" s="1"/>
  <c r="Y78" i="7" s="1"/>
  <c r="Z78" i="7" s="1"/>
  <c r="AA78" i="7" s="1"/>
  <c r="AB78" i="7" s="1"/>
  <c r="AC78" i="7" s="1"/>
  <c r="AD78" i="7" s="1"/>
  <c r="AE78" i="7" s="1"/>
  <c r="AF78" i="7" s="1"/>
  <c r="AG78" i="7" s="1"/>
  <c r="AH78" i="7" s="1"/>
  <c r="D56" i="7"/>
  <c r="E56" i="7" s="1"/>
  <c r="F56" i="7" s="1"/>
  <c r="G56" i="7" s="1"/>
  <c r="H56" i="7" s="1"/>
  <c r="I56" i="7" s="1"/>
  <c r="J56" i="7" s="1"/>
  <c r="K56" i="7" s="1"/>
  <c r="L56" i="7" s="1"/>
  <c r="M56" i="7" s="1"/>
  <c r="N56" i="7" s="1"/>
  <c r="O56" i="7" s="1"/>
  <c r="P56" i="7" s="1"/>
  <c r="Q56" i="7" s="1"/>
  <c r="R56" i="7" s="1"/>
  <c r="S56" i="7" s="1"/>
  <c r="T56" i="7" s="1"/>
  <c r="U56" i="7" s="1"/>
  <c r="V56" i="7" s="1"/>
  <c r="W56" i="7" s="1"/>
  <c r="X56" i="7" s="1"/>
  <c r="Y56" i="7" s="1"/>
  <c r="Z56" i="7" s="1"/>
  <c r="AA56" i="7" s="1"/>
  <c r="AB56" i="7" s="1"/>
  <c r="AC56" i="7" s="1"/>
  <c r="AD56" i="7" s="1"/>
  <c r="AE56" i="7" s="1"/>
  <c r="AF56" i="7" s="1"/>
  <c r="AG56" i="7" s="1"/>
  <c r="AH56" i="7" s="1"/>
  <c r="D22" i="7"/>
  <c r="E22" i="7" s="1"/>
  <c r="F22" i="7" s="1"/>
  <c r="G22" i="7" s="1"/>
  <c r="H22" i="7" s="1"/>
  <c r="I22" i="7" s="1"/>
  <c r="J22" i="7" s="1"/>
  <c r="K22" i="7" s="1"/>
  <c r="L22" i="7" s="1"/>
  <c r="M22" i="7" s="1"/>
  <c r="N22" i="7" s="1"/>
  <c r="O22" i="7" s="1"/>
  <c r="P22" i="7" s="1"/>
  <c r="Q22" i="7" s="1"/>
  <c r="R22" i="7" s="1"/>
  <c r="S22" i="7" s="1"/>
  <c r="T22" i="7" s="1"/>
  <c r="U22" i="7" s="1"/>
  <c r="V22" i="7" s="1"/>
  <c r="W22" i="7" s="1"/>
  <c r="X22" i="7" s="1"/>
  <c r="Y22" i="7" s="1"/>
  <c r="Z22" i="7" s="1"/>
  <c r="AA22" i="7" s="1"/>
  <c r="AB22" i="7" s="1"/>
  <c r="AC22" i="7" s="1"/>
  <c r="AD22" i="7" s="1"/>
  <c r="AE22" i="7" s="1"/>
  <c r="AF22" i="7" s="1"/>
  <c r="AG22" i="7" s="1"/>
  <c r="AH22" i="7" s="1"/>
  <c r="D203" i="7"/>
  <c r="E203" i="7" s="1"/>
  <c r="F203" i="7" s="1"/>
  <c r="G203" i="7" s="1"/>
  <c r="H203" i="7" s="1"/>
  <c r="I203" i="7" s="1"/>
  <c r="J203" i="7" s="1"/>
  <c r="K203" i="7" s="1"/>
  <c r="L203" i="7" s="1"/>
  <c r="M203" i="7" s="1"/>
  <c r="N203" i="7" s="1"/>
  <c r="O203" i="7" s="1"/>
  <c r="P203" i="7" s="1"/>
  <c r="Q203" i="7" s="1"/>
  <c r="R203" i="7" s="1"/>
  <c r="S203" i="7" s="1"/>
  <c r="T203" i="7" s="1"/>
  <c r="U203" i="7" s="1"/>
  <c r="V203" i="7" s="1"/>
  <c r="W203" i="7" s="1"/>
  <c r="X203" i="7" s="1"/>
  <c r="Y203" i="7" s="1"/>
  <c r="Z203" i="7" s="1"/>
  <c r="AA203" i="7" s="1"/>
  <c r="AB203" i="7" s="1"/>
  <c r="AC203" i="7" s="1"/>
  <c r="AD203" i="7" s="1"/>
  <c r="AE203" i="7" s="1"/>
  <c r="AF203" i="7" s="1"/>
  <c r="AG203" i="7" s="1"/>
  <c r="AH203" i="7" s="1"/>
  <c r="D168" i="7"/>
  <c r="E168" i="7" s="1"/>
  <c r="F168" i="7" s="1"/>
  <c r="G168" i="7" s="1"/>
  <c r="H168" i="7" s="1"/>
  <c r="I168" i="7" s="1"/>
  <c r="J168" i="7" s="1"/>
  <c r="K168" i="7" s="1"/>
  <c r="L168" i="7" s="1"/>
  <c r="M168" i="7" s="1"/>
  <c r="N168" i="7" s="1"/>
  <c r="O168" i="7" s="1"/>
  <c r="P168" i="7" s="1"/>
  <c r="Q168" i="7" s="1"/>
  <c r="R168" i="7" s="1"/>
  <c r="S168" i="7" s="1"/>
  <c r="T168" i="7" s="1"/>
  <c r="U168" i="7" s="1"/>
  <c r="V168" i="7" s="1"/>
  <c r="W168" i="7" s="1"/>
  <c r="X168" i="7" s="1"/>
  <c r="Y168" i="7" s="1"/>
  <c r="Z168" i="7" s="1"/>
  <c r="AA168" i="7" s="1"/>
  <c r="AB168" i="7" s="1"/>
  <c r="AC168" i="7" s="1"/>
  <c r="AD168" i="7" s="1"/>
  <c r="AE168" i="7" s="1"/>
  <c r="AF168" i="7" s="1"/>
  <c r="AG168" i="7" s="1"/>
  <c r="AH168" i="7" s="1"/>
  <c r="D41" i="7"/>
  <c r="E41" i="7" s="1"/>
  <c r="F41" i="7" s="1"/>
  <c r="G41" i="7" s="1"/>
  <c r="H41" i="7" s="1"/>
  <c r="I41" i="7" s="1"/>
  <c r="J41" i="7" s="1"/>
  <c r="K41" i="7" s="1"/>
  <c r="L41" i="7" s="1"/>
  <c r="M41" i="7" s="1"/>
  <c r="N41" i="7" s="1"/>
  <c r="O41" i="7" s="1"/>
  <c r="P41" i="7" s="1"/>
  <c r="Q41" i="7" s="1"/>
  <c r="R41" i="7" s="1"/>
  <c r="S41" i="7" s="1"/>
  <c r="T41" i="7" s="1"/>
  <c r="U41" i="7" s="1"/>
  <c r="V41" i="7" s="1"/>
  <c r="W41" i="7" s="1"/>
  <c r="X41" i="7" s="1"/>
  <c r="Y41" i="7" s="1"/>
  <c r="Z41" i="7" s="1"/>
  <c r="AA41" i="7" s="1"/>
  <c r="AB41" i="7" s="1"/>
  <c r="AC41" i="7" s="1"/>
  <c r="AD41" i="7" s="1"/>
  <c r="AE41" i="7" s="1"/>
  <c r="AF41" i="7" s="1"/>
  <c r="AG41" i="7" s="1"/>
  <c r="AH41" i="7" s="1"/>
  <c r="D25" i="7"/>
  <c r="E25" i="7" s="1"/>
  <c r="F25" i="7" s="1"/>
  <c r="G25" i="7" s="1"/>
  <c r="H25" i="7" s="1"/>
  <c r="I25" i="7" s="1"/>
  <c r="J25" i="7" s="1"/>
  <c r="K25" i="7" s="1"/>
  <c r="L25" i="7" s="1"/>
  <c r="M25" i="7" s="1"/>
  <c r="N25" i="7" s="1"/>
  <c r="O25" i="7" s="1"/>
  <c r="P25" i="7" s="1"/>
  <c r="Q25" i="7" s="1"/>
  <c r="R25" i="7" s="1"/>
  <c r="S25" i="7" s="1"/>
  <c r="T25" i="7" s="1"/>
  <c r="U25" i="7" s="1"/>
  <c r="V25" i="7" s="1"/>
  <c r="W25" i="7" s="1"/>
  <c r="X25" i="7" s="1"/>
  <c r="Y25" i="7" s="1"/>
  <c r="Z25" i="7" s="1"/>
  <c r="AA25" i="7" s="1"/>
  <c r="AB25" i="7" s="1"/>
  <c r="AC25" i="7" s="1"/>
  <c r="AD25" i="7" s="1"/>
  <c r="AE25" i="7" s="1"/>
  <c r="AF25" i="7" s="1"/>
  <c r="AG25" i="7" s="1"/>
  <c r="AH25" i="7" s="1"/>
  <c r="D137" i="7"/>
  <c r="E137" i="7" s="1"/>
  <c r="F137" i="7" s="1"/>
  <c r="G137" i="7" s="1"/>
  <c r="H137" i="7" s="1"/>
  <c r="I137" i="7" s="1"/>
  <c r="J137" i="7" s="1"/>
  <c r="K137" i="7" s="1"/>
  <c r="L137" i="7" s="1"/>
  <c r="M137" i="7" s="1"/>
  <c r="N137" i="7" s="1"/>
  <c r="O137" i="7" s="1"/>
  <c r="P137" i="7" s="1"/>
  <c r="Q137" i="7" s="1"/>
  <c r="R137" i="7" s="1"/>
  <c r="S137" i="7" s="1"/>
  <c r="T137" i="7" s="1"/>
  <c r="U137" i="7" s="1"/>
  <c r="V137" i="7" s="1"/>
  <c r="W137" i="7" s="1"/>
  <c r="X137" i="7" s="1"/>
  <c r="Y137" i="7" s="1"/>
  <c r="Z137" i="7" s="1"/>
  <c r="AA137" i="7" s="1"/>
  <c r="AB137" i="7" s="1"/>
  <c r="AC137" i="7" s="1"/>
  <c r="AD137" i="7" s="1"/>
  <c r="AE137" i="7" s="1"/>
  <c r="AF137" i="7" s="1"/>
  <c r="AG137" i="7" s="1"/>
  <c r="AH137" i="7" s="1"/>
  <c r="D79" i="7"/>
  <c r="E79" i="7" s="1"/>
  <c r="F79" i="7" s="1"/>
  <c r="G79" i="7" s="1"/>
  <c r="H79" i="7" s="1"/>
  <c r="I79" i="7" s="1"/>
  <c r="J79" i="7" s="1"/>
  <c r="K79" i="7" s="1"/>
  <c r="L79" i="7" s="1"/>
  <c r="M79" i="7" s="1"/>
  <c r="N79" i="7" s="1"/>
  <c r="O79" i="7" s="1"/>
  <c r="P79" i="7" s="1"/>
  <c r="Q79" i="7" s="1"/>
  <c r="R79" i="7" s="1"/>
  <c r="S79" i="7" s="1"/>
  <c r="T79" i="7" s="1"/>
  <c r="U79" i="7" s="1"/>
  <c r="V79" i="7" s="1"/>
  <c r="W79" i="7" s="1"/>
  <c r="X79" i="7" s="1"/>
  <c r="Y79" i="7" s="1"/>
  <c r="Z79" i="7" s="1"/>
  <c r="AA79" i="7" s="1"/>
  <c r="AB79" i="7" s="1"/>
  <c r="AC79" i="7" s="1"/>
  <c r="AD79" i="7" s="1"/>
  <c r="AE79" i="7" s="1"/>
  <c r="AF79" i="7" s="1"/>
  <c r="AG79" i="7" s="1"/>
  <c r="AH79" i="7" s="1"/>
  <c r="D96" i="7"/>
  <c r="E96" i="7" s="1"/>
  <c r="F96" i="7" s="1"/>
  <c r="G96" i="7" s="1"/>
  <c r="H96" i="7" s="1"/>
  <c r="I96" i="7" s="1"/>
  <c r="J96" i="7" s="1"/>
  <c r="K96" i="7" s="1"/>
  <c r="L96" i="7" s="1"/>
  <c r="M96" i="7" s="1"/>
  <c r="N96" i="7" s="1"/>
  <c r="O96" i="7" s="1"/>
  <c r="P96" i="7" s="1"/>
  <c r="Q96" i="7" s="1"/>
  <c r="R96" i="7" s="1"/>
  <c r="S96" i="7" s="1"/>
  <c r="T96" i="7" s="1"/>
  <c r="U96" i="7" s="1"/>
  <c r="V96" i="7" s="1"/>
  <c r="W96" i="7" s="1"/>
  <c r="X96" i="7" s="1"/>
  <c r="Y96" i="7" s="1"/>
  <c r="Z96" i="7" s="1"/>
  <c r="AA96" i="7" s="1"/>
  <c r="AB96" i="7" s="1"/>
  <c r="AC96" i="7" s="1"/>
  <c r="AD96" i="7" s="1"/>
  <c r="AE96" i="7" s="1"/>
  <c r="AF96" i="7" s="1"/>
  <c r="AG96" i="7" s="1"/>
  <c r="AH96" i="7" s="1"/>
  <c r="D68" i="7"/>
  <c r="E68" i="7" s="1"/>
  <c r="F68" i="7" s="1"/>
  <c r="G68" i="7" s="1"/>
  <c r="H68" i="7" s="1"/>
  <c r="I68" i="7" s="1"/>
  <c r="J68" i="7" s="1"/>
  <c r="K68" i="7" s="1"/>
  <c r="L68" i="7" s="1"/>
  <c r="M68" i="7" s="1"/>
  <c r="N68" i="7" s="1"/>
  <c r="O68" i="7" s="1"/>
  <c r="P68" i="7" s="1"/>
  <c r="Q68" i="7" s="1"/>
  <c r="R68" i="7" s="1"/>
  <c r="S68" i="7" s="1"/>
  <c r="T68" i="7" s="1"/>
  <c r="U68" i="7" s="1"/>
  <c r="V68" i="7" s="1"/>
  <c r="W68" i="7" s="1"/>
  <c r="X68" i="7" s="1"/>
  <c r="Y68" i="7" s="1"/>
  <c r="Z68" i="7" s="1"/>
  <c r="AA68" i="7" s="1"/>
  <c r="AB68" i="7" s="1"/>
  <c r="AC68" i="7" s="1"/>
  <c r="AD68" i="7" s="1"/>
  <c r="AE68" i="7" s="1"/>
  <c r="AF68" i="7" s="1"/>
  <c r="AG68" i="7" s="1"/>
  <c r="AH68" i="7" s="1"/>
  <c r="D182" i="7"/>
  <c r="E182" i="7" s="1"/>
  <c r="F182" i="7" s="1"/>
  <c r="G182" i="7" s="1"/>
  <c r="H182" i="7" s="1"/>
  <c r="I182" i="7" s="1"/>
  <c r="J182" i="7" s="1"/>
  <c r="K182" i="7" s="1"/>
  <c r="L182" i="7" s="1"/>
  <c r="M182" i="7" s="1"/>
  <c r="N182" i="7" s="1"/>
  <c r="O182" i="7" s="1"/>
  <c r="P182" i="7" s="1"/>
  <c r="Q182" i="7" s="1"/>
  <c r="R182" i="7" s="1"/>
  <c r="S182" i="7" s="1"/>
  <c r="T182" i="7" s="1"/>
  <c r="U182" i="7" s="1"/>
  <c r="V182" i="7" s="1"/>
  <c r="W182" i="7" s="1"/>
  <c r="X182" i="7" s="1"/>
  <c r="Y182" i="7" s="1"/>
  <c r="Z182" i="7" s="1"/>
  <c r="AA182" i="7" s="1"/>
  <c r="AB182" i="7" s="1"/>
  <c r="AC182" i="7" s="1"/>
  <c r="AD182" i="7" s="1"/>
  <c r="AE182" i="7" s="1"/>
  <c r="AF182" i="7" s="1"/>
  <c r="AG182" i="7" s="1"/>
  <c r="AH182" i="7" s="1"/>
  <c r="D191" i="7"/>
  <c r="E191" i="7" s="1"/>
  <c r="F191" i="7" s="1"/>
  <c r="G191" i="7" s="1"/>
  <c r="H191" i="7" s="1"/>
  <c r="I191" i="7" s="1"/>
  <c r="J191" i="7" s="1"/>
  <c r="K191" i="7" s="1"/>
  <c r="L191" i="7" s="1"/>
  <c r="M191" i="7" s="1"/>
  <c r="N191" i="7" s="1"/>
  <c r="O191" i="7" s="1"/>
  <c r="P191" i="7" s="1"/>
  <c r="Q191" i="7" s="1"/>
  <c r="R191" i="7" s="1"/>
  <c r="S191" i="7" s="1"/>
  <c r="T191" i="7" s="1"/>
  <c r="U191" i="7" s="1"/>
  <c r="V191" i="7" s="1"/>
  <c r="W191" i="7" s="1"/>
  <c r="X191" i="7" s="1"/>
  <c r="Y191" i="7" s="1"/>
  <c r="Z191" i="7" s="1"/>
  <c r="AA191" i="7" s="1"/>
  <c r="AB191" i="7" s="1"/>
  <c r="AC191" i="7" s="1"/>
  <c r="AD191" i="7" s="1"/>
  <c r="AE191" i="7" s="1"/>
  <c r="AF191" i="7" s="1"/>
  <c r="AG191" i="7" s="1"/>
  <c r="AH191" i="7" s="1"/>
  <c r="D199" i="7"/>
  <c r="E199" i="7" s="1"/>
  <c r="F199" i="7" s="1"/>
  <c r="G199" i="7" s="1"/>
  <c r="H199" i="7" s="1"/>
  <c r="I199" i="7" s="1"/>
  <c r="J199" i="7" s="1"/>
  <c r="K199" i="7" s="1"/>
  <c r="L199" i="7" s="1"/>
  <c r="M199" i="7" s="1"/>
  <c r="N199" i="7" s="1"/>
  <c r="O199" i="7" s="1"/>
  <c r="P199" i="7" s="1"/>
  <c r="Q199" i="7" s="1"/>
  <c r="R199" i="7" s="1"/>
  <c r="S199" i="7" s="1"/>
  <c r="T199" i="7" s="1"/>
  <c r="U199" i="7" s="1"/>
  <c r="V199" i="7" s="1"/>
  <c r="W199" i="7" s="1"/>
  <c r="X199" i="7" s="1"/>
  <c r="Y199" i="7" s="1"/>
  <c r="Z199" i="7" s="1"/>
  <c r="AA199" i="7" s="1"/>
  <c r="AB199" i="7" s="1"/>
  <c r="AC199" i="7" s="1"/>
  <c r="AD199" i="7" s="1"/>
  <c r="AE199" i="7" s="1"/>
  <c r="AF199" i="7" s="1"/>
  <c r="AG199" i="7" s="1"/>
  <c r="AH199" i="7" s="1"/>
  <c r="D159" i="7"/>
  <c r="E159" i="7" s="1"/>
  <c r="F159" i="7" s="1"/>
  <c r="G159" i="7" s="1"/>
  <c r="H159" i="7" s="1"/>
  <c r="I159" i="7" s="1"/>
  <c r="J159" i="7" s="1"/>
  <c r="K159" i="7" s="1"/>
  <c r="L159" i="7" s="1"/>
  <c r="M159" i="7" s="1"/>
  <c r="N159" i="7" s="1"/>
  <c r="O159" i="7" s="1"/>
  <c r="P159" i="7" s="1"/>
  <c r="Q159" i="7" s="1"/>
  <c r="R159" i="7" s="1"/>
  <c r="S159" i="7" s="1"/>
  <c r="T159" i="7" s="1"/>
  <c r="U159" i="7" s="1"/>
  <c r="V159" i="7" s="1"/>
  <c r="W159" i="7" s="1"/>
  <c r="X159" i="7" s="1"/>
  <c r="Y159" i="7" s="1"/>
  <c r="Z159" i="7" s="1"/>
  <c r="AA159" i="7" s="1"/>
  <c r="AB159" i="7" s="1"/>
  <c r="AC159" i="7" s="1"/>
  <c r="AD159" i="7" s="1"/>
  <c r="AE159" i="7" s="1"/>
  <c r="AF159" i="7" s="1"/>
  <c r="AG159" i="7" s="1"/>
  <c r="AH159" i="7" s="1"/>
  <c r="D165" i="7"/>
  <c r="E165" i="7" s="1"/>
  <c r="F165" i="7" s="1"/>
  <c r="G165" i="7" s="1"/>
  <c r="H165" i="7" s="1"/>
  <c r="I165" i="7" s="1"/>
  <c r="J165" i="7" s="1"/>
  <c r="K165" i="7" s="1"/>
  <c r="L165" i="7" s="1"/>
  <c r="M165" i="7" s="1"/>
  <c r="N165" i="7" s="1"/>
  <c r="O165" i="7" s="1"/>
  <c r="P165" i="7" s="1"/>
  <c r="Q165" i="7" s="1"/>
  <c r="R165" i="7" s="1"/>
  <c r="S165" i="7" s="1"/>
  <c r="T165" i="7" s="1"/>
  <c r="U165" i="7" s="1"/>
  <c r="V165" i="7" s="1"/>
  <c r="W165" i="7" s="1"/>
  <c r="X165" i="7" s="1"/>
  <c r="Y165" i="7" s="1"/>
  <c r="Z165" i="7" s="1"/>
  <c r="AA165" i="7" s="1"/>
  <c r="AB165" i="7" s="1"/>
  <c r="AC165" i="7" s="1"/>
  <c r="AD165" i="7" s="1"/>
  <c r="AE165" i="7" s="1"/>
  <c r="AF165" i="7" s="1"/>
  <c r="AG165" i="7" s="1"/>
  <c r="AH165" i="7" s="1"/>
  <c r="D126" i="7"/>
  <c r="E126" i="7" s="1"/>
  <c r="F126" i="7" s="1"/>
  <c r="G126" i="7" s="1"/>
  <c r="H126" i="7" s="1"/>
  <c r="I126" i="7" s="1"/>
  <c r="J126" i="7" s="1"/>
  <c r="K126" i="7" s="1"/>
  <c r="L126" i="7" s="1"/>
  <c r="M126" i="7" s="1"/>
  <c r="N126" i="7" s="1"/>
  <c r="O126" i="7" s="1"/>
  <c r="P126" i="7" s="1"/>
  <c r="Q126" i="7" s="1"/>
  <c r="R126" i="7" s="1"/>
  <c r="S126" i="7" s="1"/>
  <c r="T126" i="7" s="1"/>
  <c r="U126" i="7" s="1"/>
  <c r="V126" i="7" s="1"/>
  <c r="W126" i="7" s="1"/>
  <c r="X126" i="7" s="1"/>
  <c r="Y126" i="7" s="1"/>
  <c r="Z126" i="7" s="1"/>
  <c r="AA126" i="7" s="1"/>
  <c r="AB126" i="7" s="1"/>
  <c r="AC126" i="7" s="1"/>
  <c r="AD126" i="7" s="1"/>
  <c r="AE126" i="7" s="1"/>
  <c r="AF126" i="7" s="1"/>
  <c r="AG126" i="7" s="1"/>
  <c r="AH126" i="7" s="1"/>
  <c r="D139" i="7"/>
  <c r="E139" i="7" s="1"/>
  <c r="F139" i="7" s="1"/>
  <c r="G139" i="7" s="1"/>
  <c r="H139" i="7" s="1"/>
  <c r="I139" i="7" s="1"/>
  <c r="J139" i="7" s="1"/>
  <c r="K139" i="7" s="1"/>
  <c r="L139" i="7" s="1"/>
  <c r="M139" i="7" s="1"/>
  <c r="N139" i="7" s="1"/>
  <c r="O139" i="7" s="1"/>
  <c r="P139" i="7" s="1"/>
  <c r="Q139" i="7" s="1"/>
  <c r="R139" i="7" s="1"/>
  <c r="S139" i="7" s="1"/>
  <c r="T139" i="7" s="1"/>
  <c r="U139" i="7" s="1"/>
  <c r="V139" i="7" s="1"/>
  <c r="W139" i="7" s="1"/>
  <c r="X139" i="7" s="1"/>
  <c r="Y139" i="7" s="1"/>
  <c r="Z139" i="7" s="1"/>
  <c r="AA139" i="7" s="1"/>
  <c r="AB139" i="7" s="1"/>
  <c r="AC139" i="7" s="1"/>
  <c r="AD139" i="7" s="1"/>
  <c r="AE139" i="7" s="1"/>
  <c r="AF139" i="7" s="1"/>
  <c r="AG139" i="7" s="1"/>
  <c r="AH139" i="7" s="1"/>
  <c r="D112" i="7"/>
  <c r="E112" i="7" s="1"/>
  <c r="F112" i="7" s="1"/>
  <c r="G112" i="7" s="1"/>
  <c r="H112" i="7" s="1"/>
  <c r="I112" i="7" s="1"/>
  <c r="J112" i="7" s="1"/>
  <c r="K112" i="7" s="1"/>
  <c r="L112" i="7" s="1"/>
  <c r="M112" i="7" s="1"/>
  <c r="N112" i="7" s="1"/>
  <c r="O112" i="7" s="1"/>
  <c r="P112" i="7" s="1"/>
  <c r="Q112" i="7" s="1"/>
  <c r="R112" i="7" s="1"/>
  <c r="S112" i="7" s="1"/>
  <c r="T112" i="7" s="1"/>
  <c r="U112" i="7" s="1"/>
  <c r="V112" i="7" s="1"/>
  <c r="W112" i="7" s="1"/>
  <c r="X112" i="7" s="1"/>
  <c r="Y112" i="7" s="1"/>
  <c r="Z112" i="7" s="1"/>
  <c r="AA112" i="7" s="1"/>
  <c r="AB112" i="7" s="1"/>
  <c r="AC112" i="7" s="1"/>
  <c r="AD112" i="7" s="1"/>
  <c r="AE112" i="7" s="1"/>
  <c r="AF112" i="7" s="1"/>
  <c r="AG112" i="7" s="1"/>
  <c r="AH112" i="7" s="1"/>
  <c r="D108" i="7"/>
  <c r="E108" i="7" s="1"/>
  <c r="F108" i="7" s="1"/>
  <c r="G108" i="7" s="1"/>
  <c r="H108" i="7" s="1"/>
  <c r="I108" i="7" s="1"/>
  <c r="J108" i="7" s="1"/>
  <c r="K108" i="7" s="1"/>
  <c r="L108" i="7" s="1"/>
  <c r="M108" i="7" s="1"/>
  <c r="N108" i="7" s="1"/>
  <c r="O108" i="7" s="1"/>
  <c r="P108" i="7" s="1"/>
  <c r="Q108" i="7" s="1"/>
  <c r="R108" i="7" s="1"/>
  <c r="S108" i="7" s="1"/>
  <c r="T108" i="7" s="1"/>
  <c r="U108" i="7" s="1"/>
  <c r="V108" i="7" s="1"/>
  <c r="W108" i="7" s="1"/>
  <c r="X108" i="7" s="1"/>
  <c r="Y108" i="7" s="1"/>
  <c r="Z108" i="7" s="1"/>
  <c r="AA108" i="7" s="1"/>
  <c r="AB108" i="7" s="1"/>
  <c r="AC108" i="7" s="1"/>
  <c r="AD108" i="7" s="1"/>
  <c r="AE108" i="7" s="1"/>
  <c r="AF108" i="7" s="1"/>
  <c r="AG108" i="7" s="1"/>
  <c r="AH108" i="7" s="1"/>
  <c r="D105" i="7"/>
  <c r="E105" i="7" s="1"/>
  <c r="F105" i="7" s="1"/>
  <c r="G105" i="7" s="1"/>
  <c r="H105" i="7" s="1"/>
  <c r="I105" i="7" s="1"/>
  <c r="J105" i="7" s="1"/>
  <c r="K105" i="7" s="1"/>
  <c r="L105" i="7" s="1"/>
  <c r="M105" i="7" s="1"/>
  <c r="N105" i="7" s="1"/>
  <c r="O105" i="7" s="1"/>
  <c r="P105" i="7" s="1"/>
  <c r="Q105" i="7" s="1"/>
  <c r="R105" i="7" s="1"/>
  <c r="S105" i="7" s="1"/>
  <c r="T105" i="7" s="1"/>
  <c r="U105" i="7" s="1"/>
  <c r="V105" i="7" s="1"/>
  <c r="W105" i="7" s="1"/>
  <c r="X105" i="7" s="1"/>
  <c r="Y105" i="7" s="1"/>
  <c r="Z105" i="7" s="1"/>
  <c r="AA105" i="7" s="1"/>
  <c r="AB105" i="7" s="1"/>
  <c r="AC105" i="7" s="1"/>
  <c r="AD105" i="7" s="1"/>
  <c r="AE105" i="7" s="1"/>
  <c r="AF105" i="7" s="1"/>
  <c r="AG105" i="7" s="1"/>
  <c r="AH105" i="7" s="1"/>
  <c r="D91" i="7"/>
  <c r="E91" i="7" s="1"/>
  <c r="F91" i="7" s="1"/>
  <c r="G91" i="7" s="1"/>
  <c r="H91" i="7" s="1"/>
  <c r="I91" i="7" s="1"/>
  <c r="J91" i="7" s="1"/>
  <c r="K91" i="7" s="1"/>
  <c r="L91" i="7" s="1"/>
  <c r="M91" i="7" s="1"/>
  <c r="N91" i="7" s="1"/>
  <c r="O91" i="7" s="1"/>
  <c r="P91" i="7" s="1"/>
  <c r="Q91" i="7" s="1"/>
  <c r="R91" i="7" s="1"/>
  <c r="S91" i="7" s="1"/>
  <c r="T91" i="7" s="1"/>
  <c r="U91" i="7" s="1"/>
  <c r="V91" i="7" s="1"/>
  <c r="W91" i="7" s="1"/>
  <c r="X91" i="7" s="1"/>
  <c r="Y91" i="7" s="1"/>
  <c r="Z91" i="7" s="1"/>
  <c r="AA91" i="7" s="1"/>
  <c r="AB91" i="7" s="1"/>
  <c r="AC91" i="7" s="1"/>
  <c r="AD91" i="7" s="1"/>
  <c r="AE91" i="7" s="1"/>
  <c r="AF91" i="7" s="1"/>
  <c r="AG91" i="7" s="1"/>
  <c r="AH91" i="7" s="1"/>
  <c r="D83" i="7"/>
  <c r="E83" i="7" s="1"/>
  <c r="F83" i="7" s="1"/>
  <c r="G83" i="7" s="1"/>
  <c r="H83" i="7" s="1"/>
  <c r="I83" i="7" s="1"/>
  <c r="J83" i="7" s="1"/>
  <c r="K83" i="7" s="1"/>
  <c r="L83" i="7" s="1"/>
  <c r="M83" i="7" s="1"/>
  <c r="N83" i="7" s="1"/>
  <c r="O83" i="7" s="1"/>
  <c r="P83" i="7" s="1"/>
  <c r="Q83" i="7" s="1"/>
  <c r="R83" i="7" s="1"/>
  <c r="S83" i="7" s="1"/>
  <c r="T83" i="7" s="1"/>
  <c r="U83" i="7" s="1"/>
  <c r="V83" i="7" s="1"/>
  <c r="W83" i="7" s="1"/>
  <c r="X83" i="7" s="1"/>
  <c r="Y83" i="7" s="1"/>
  <c r="Z83" i="7" s="1"/>
  <c r="AA83" i="7" s="1"/>
  <c r="AB83" i="7" s="1"/>
  <c r="AC83" i="7" s="1"/>
  <c r="AD83" i="7" s="1"/>
  <c r="AE83" i="7" s="1"/>
  <c r="AF83" i="7" s="1"/>
  <c r="AG83" i="7" s="1"/>
  <c r="AH83" i="7" s="1"/>
  <c r="D103" i="7"/>
  <c r="E103" i="7" s="1"/>
  <c r="F103" i="7" s="1"/>
  <c r="G103" i="7" s="1"/>
  <c r="H103" i="7" s="1"/>
  <c r="I103" i="7" s="1"/>
  <c r="J103" i="7" s="1"/>
  <c r="K103" i="7" s="1"/>
  <c r="L103" i="7" s="1"/>
  <c r="M103" i="7" s="1"/>
  <c r="N103" i="7" s="1"/>
  <c r="O103" i="7" s="1"/>
  <c r="P103" i="7" s="1"/>
  <c r="Q103" i="7" s="1"/>
  <c r="R103" i="7" s="1"/>
  <c r="S103" i="7" s="1"/>
  <c r="T103" i="7" s="1"/>
  <c r="U103" i="7" s="1"/>
  <c r="V103" i="7" s="1"/>
  <c r="W103" i="7" s="1"/>
  <c r="X103" i="7" s="1"/>
  <c r="Y103" i="7" s="1"/>
  <c r="Z103" i="7" s="1"/>
  <c r="AA103" i="7" s="1"/>
  <c r="AB103" i="7" s="1"/>
  <c r="AC103" i="7" s="1"/>
  <c r="AD103" i="7" s="1"/>
  <c r="AE103" i="7" s="1"/>
  <c r="AF103" i="7" s="1"/>
  <c r="AG103" i="7" s="1"/>
  <c r="AH103" i="7" s="1"/>
  <c r="D40" i="7"/>
  <c r="E40" i="7" s="1"/>
  <c r="F40" i="7" s="1"/>
  <c r="G40" i="7" s="1"/>
  <c r="H40" i="7" s="1"/>
  <c r="I40" i="7" s="1"/>
  <c r="J40" i="7" s="1"/>
  <c r="K40" i="7" s="1"/>
  <c r="L40" i="7" s="1"/>
  <c r="M40" i="7" s="1"/>
  <c r="N40" i="7" s="1"/>
  <c r="O40" i="7" s="1"/>
  <c r="P40" i="7" s="1"/>
  <c r="Q40" i="7" s="1"/>
  <c r="R40" i="7" s="1"/>
  <c r="S40" i="7" s="1"/>
  <c r="T40" i="7" s="1"/>
  <c r="U40" i="7" s="1"/>
  <c r="V40" i="7" s="1"/>
  <c r="W40" i="7" s="1"/>
  <c r="X40" i="7" s="1"/>
  <c r="Y40" i="7" s="1"/>
  <c r="Z40" i="7" s="1"/>
  <c r="AA40" i="7" s="1"/>
  <c r="AB40" i="7" s="1"/>
  <c r="AC40" i="7" s="1"/>
  <c r="AD40" i="7" s="1"/>
  <c r="AE40" i="7" s="1"/>
  <c r="AF40" i="7" s="1"/>
  <c r="AG40" i="7" s="1"/>
  <c r="AH40" i="7" s="1"/>
  <c r="D63" i="7"/>
  <c r="E63" i="7" s="1"/>
  <c r="F63" i="7" s="1"/>
  <c r="G63" i="7" s="1"/>
  <c r="H63" i="7" s="1"/>
  <c r="I63" i="7" s="1"/>
  <c r="J63" i="7" s="1"/>
  <c r="K63" i="7" s="1"/>
  <c r="L63" i="7" s="1"/>
  <c r="M63" i="7" s="1"/>
  <c r="N63" i="7" s="1"/>
  <c r="O63" i="7" s="1"/>
  <c r="P63" i="7" s="1"/>
  <c r="Q63" i="7" s="1"/>
  <c r="R63" i="7" s="1"/>
  <c r="S63" i="7" s="1"/>
  <c r="T63" i="7" s="1"/>
  <c r="U63" i="7" s="1"/>
  <c r="V63" i="7" s="1"/>
  <c r="W63" i="7" s="1"/>
  <c r="X63" i="7" s="1"/>
  <c r="Y63" i="7" s="1"/>
  <c r="Z63" i="7" s="1"/>
  <c r="AA63" i="7" s="1"/>
  <c r="AB63" i="7" s="1"/>
  <c r="AC63" i="7" s="1"/>
  <c r="AD63" i="7" s="1"/>
  <c r="AE63" i="7" s="1"/>
  <c r="AF63" i="7" s="1"/>
  <c r="AG63" i="7" s="1"/>
  <c r="AH63" i="7" s="1"/>
  <c r="D60" i="7"/>
  <c r="E60" i="7" s="1"/>
  <c r="F60" i="7" s="1"/>
  <c r="G60" i="7" s="1"/>
  <c r="H60" i="7" s="1"/>
  <c r="I60" i="7" s="1"/>
  <c r="J60" i="7" s="1"/>
  <c r="K60" i="7" s="1"/>
  <c r="L60" i="7" s="1"/>
  <c r="M60" i="7" s="1"/>
  <c r="N60" i="7" s="1"/>
  <c r="O60" i="7" s="1"/>
  <c r="P60" i="7" s="1"/>
  <c r="Q60" i="7" s="1"/>
  <c r="R60" i="7" s="1"/>
  <c r="S60" i="7" s="1"/>
  <c r="T60" i="7" s="1"/>
  <c r="U60" i="7" s="1"/>
  <c r="V60" i="7" s="1"/>
  <c r="W60" i="7" s="1"/>
  <c r="X60" i="7" s="1"/>
  <c r="Y60" i="7" s="1"/>
  <c r="Z60" i="7" s="1"/>
  <c r="AA60" i="7" s="1"/>
  <c r="AB60" i="7" s="1"/>
  <c r="AC60" i="7" s="1"/>
  <c r="AD60" i="7" s="1"/>
  <c r="AE60" i="7" s="1"/>
  <c r="AF60" i="7" s="1"/>
  <c r="AG60" i="7" s="1"/>
  <c r="AH60" i="7" s="1"/>
  <c r="D100" i="7"/>
  <c r="E100" i="7" s="1"/>
  <c r="F100" i="7" s="1"/>
  <c r="G100" i="7" s="1"/>
  <c r="H100" i="7" s="1"/>
  <c r="I100" i="7" s="1"/>
  <c r="J100" i="7" s="1"/>
  <c r="K100" i="7" s="1"/>
  <c r="L100" i="7" s="1"/>
  <c r="M100" i="7" s="1"/>
  <c r="N100" i="7" s="1"/>
  <c r="O100" i="7" s="1"/>
  <c r="P100" i="7" s="1"/>
  <c r="Q100" i="7" s="1"/>
  <c r="R100" i="7" s="1"/>
  <c r="S100" i="7" s="1"/>
  <c r="T100" i="7" s="1"/>
  <c r="U100" i="7" s="1"/>
  <c r="V100" i="7" s="1"/>
  <c r="W100" i="7" s="1"/>
  <c r="X100" i="7" s="1"/>
  <c r="Y100" i="7" s="1"/>
  <c r="Z100" i="7" s="1"/>
  <c r="AA100" i="7" s="1"/>
  <c r="AB100" i="7" s="1"/>
  <c r="AC100" i="7" s="1"/>
  <c r="AD100" i="7" s="1"/>
  <c r="AE100" i="7" s="1"/>
  <c r="AF100" i="7" s="1"/>
  <c r="AG100" i="7" s="1"/>
  <c r="AH100" i="7" s="1"/>
  <c r="D152" i="7"/>
  <c r="E152" i="7" s="1"/>
  <c r="F152" i="7" s="1"/>
  <c r="G152" i="7" s="1"/>
  <c r="H152" i="7" s="1"/>
  <c r="I152" i="7" s="1"/>
  <c r="J152" i="7" s="1"/>
  <c r="K152" i="7" s="1"/>
  <c r="L152" i="7" s="1"/>
  <c r="M152" i="7" s="1"/>
  <c r="N152" i="7" s="1"/>
  <c r="O152" i="7" s="1"/>
  <c r="P152" i="7" s="1"/>
  <c r="Q152" i="7" s="1"/>
  <c r="R152" i="7" s="1"/>
  <c r="S152" i="7" s="1"/>
  <c r="T152" i="7" s="1"/>
  <c r="U152" i="7" s="1"/>
  <c r="V152" i="7" s="1"/>
  <c r="W152" i="7" s="1"/>
  <c r="X152" i="7" s="1"/>
  <c r="Y152" i="7" s="1"/>
  <c r="Z152" i="7" s="1"/>
  <c r="AA152" i="7" s="1"/>
  <c r="AB152" i="7" s="1"/>
  <c r="AC152" i="7" s="1"/>
  <c r="AD152" i="7" s="1"/>
  <c r="AE152" i="7" s="1"/>
  <c r="AF152" i="7" s="1"/>
  <c r="AG152" i="7" s="1"/>
  <c r="AH152" i="7" s="1"/>
  <c r="D67" i="7"/>
  <c r="E67" i="7" s="1"/>
  <c r="F67" i="7" s="1"/>
  <c r="G67" i="7" s="1"/>
  <c r="H67" i="7" s="1"/>
  <c r="I67" i="7" s="1"/>
  <c r="J67" i="7" s="1"/>
  <c r="K67" i="7" s="1"/>
  <c r="L67" i="7" s="1"/>
  <c r="M67" i="7" s="1"/>
  <c r="N67" i="7" s="1"/>
  <c r="O67" i="7" s="1"/>
  <c r="P67" i="7" s="1"/>
  <c r="Q67" i="7" s="1"/>
  <c r="R67" i="7" s="1"/>
  <c r="S67" i="7" s="1"/>
  <c r="T67" i="7" s="1"/>
  <c r="U67" i="7" s="1"/>
  <c r="V67" i="7" s="1"/>
  <c r="W67" i="7" s="1"/>
  <c r="X67" i="7" s="1"/>
  <c r="Y67" i="7" s="1"/>
  <c r="Z67" i="7" s="1"/>
  <c r="AA67" i="7" s="1"/>
  <c r="AB67" i="7" s="1"/>
  <c r="AC67" i="7" s="1"/>
  <c r="AD67" i="7" s="1"/>
  <c r="AE67" i="7" s="1"/>
  <c r="AF67" i="7" s="1"/>
  <c r="AG67" i="7" s="1"/>
  <c r="AH67" i="7" s="1"/>
  <c r="D143" i="7"/>
  <c r="E143" i="7" s="1"/>
  <c r="F143" i="7" s="1"/>
  <c r="G143" i="7" s="1"/>
  <c r="H143" i="7" s="1"/>
  <c r="I143" i="7" s="1"/>
  <c r="J143" i="7" s="1"/>
  <c r="K143" i="7" s="1"/>
  <c r="L143" i="7" s="1"/>
  <c r="M143" i="7" s="1"/>
  <c r="N143" i="7" s="1"/>
  <c r="O143" i="7" s="1"/>
  <c r="P143" i="7" s="1"/>
  <c r="Q143" i="7" s="1"/>
  <c r="R143" i="7" s="1"/>
  <c r="S143" i="7" s="1"/>
  <c r="T143" i="7" s="1"/>
  <c r="U143" i="7" s="1"/>
  <c r="V143" i="7" s="1"/>
  <c r="W143" i="7" s="1"/>
  <c r="X143" i="7" s="1"/>
  <c r="Y143" i="7" s="1"/>
  <c r="Z143" i="7" s="1"/>
  <c r="AA143" i="7" s="1"/>
  <c r="AB143" i="7" s="1"/>
  <c r="AC143" i="7" s="1"/>
  <c r="AD143" i="7" s="1"/>
  <c r="AE143" i="7" s="1"/>
  <c r="AF143" i="7" s="1"/>
  <c r="AG143" i="7" s="1"/>
  <c r="AH143" i="7" s="1"/>
  <c r="D202" i="7"/>
  <c r="E202" i="7" s="1"/>
  <c r="F202" i="7" s="1"/>
  <c r="G202" i="7" s="1"/>
  <c r="H202" i="7" s="1"/>
  <c r="I202" i="7" s="1"/>
  <c r="J202" i="7" s="1"/>
  <c r="K202" i="7" s="1"/>
  <c r="L202" i="7" s="1"/>
  <c r="M202" i="7" s="1"/>
  <c r="N202" i="7" s="1"/>
  <c r="O202" i="7" s="1"/>
  <c r="P202" i="7" s="1"/>
  <c r="Q202" i="7" s="1"/>
  <c r="R202" i="7" s="1"/>
  <c r="S202" i="7" s="1"/>
  <c r="T202" i="7" s="1"/>
  <c r="U202" i="7" s="1"/>
  <c r="V202" i="7" s="1"/>
  <c r="W202" i="7" s="1"/>
  <c r="X202" i="7" s="1"/>
  <c r="Y202" i="7" s="1"/>
  <c r="Z202" i="7" s="1"/>
  <c r="AA202" i="7" s="1"/>
  <c r="AB202" i="7" s="1"/>
  <c r="AC202" i="7" s="1"/>
  <c r="AD202" i="7" s="1"/>
  <c r="AE202" i="7" s="1"/>
  <c r="AF202" i="7" s="1"/>
  <c r="AG202" i="7" s="1"/>
  <c r="AH202" i="7" s="1"/>
  <c r="D45" i="7"/>
  <c r="E45" i="7" s="1"/>
  <c r="F45" i="7" s="1"/>
  <c r="G45" i="7" s="1"/>
  <c r="H45" i="7" s="1"/>
  <c r="I45" i="7" s="1"/>
  <c r="J45" i="7" s="1"/>
  <c r="K45" i="7" s="1"/>
  <c r="L45" i="7" s="1"/>
  <c r="M45" i="7" s="1"/>
  <c r="N45" i="7" s="1"/>
  <c r="O45" i="7" s="1"/>
  <c r="P45" i="7" s="1"/>
  <c r="Q45" i="7" s="1"/>
  <c r="R45" i="7" s="1"/>
  <c r="S45" i="7" s="1"/>
  <c r="T45" i="7" s="1"/>
  <c r="U45" i="7" s="1"/>
  <c r="V45" i="7" s="1"/>
  <c r="W45" i="7" s="1"/>
  <c r="X45" i="7" s="1"/>
  <c r="Y45" i="7" s="1"/>
  <c r="Z45" i="7" s="1"/>
  <c r="AA45" i="7" s="1"/>
  <c r="AB45" i="7" s="1"/>
  <c r="AC45" i="7" s="1"/>
  <c r="AD45" i="7" s="1"/>
  <c r="AE45" i="7" s="1"/>
  <c r="AF45" i="7" s="1"/>
  <c r="AG45" i="7" s="1"/>
  <c r="AH45" i="7" s="1"/>
  <c r="E57" i="6"/>
  <c r="E67" i="6"/>
  <c r="R27" i="5"/>
  <c r="U26" i="5"/>
  <c r="E66" i="6"/>
  <c r="E42" i="6"/>
  <c r="E56" i="6"/>
  <c r="AB9" i="4"/>
  <c r="W9" i="4"/>
  <c r="X9" i="4" s="1"/>
  <c r="E44" i="6"/>
  <c r="E49" i="6"/>
  <c r="C27" i="5"/>
  <c r="F26" i="5"/>
  <c r="E70" i="6"/>
  <c r="E68" i="6"/>
  <c r="E61" i="6"/>
  <c r="Y9" i="4" l="1"/>
  <c r="AJ8" i="4"/>
  <c r="AO7" i="4"/>
  <c r="AP7" i="4" s="1"/>
  <c r="AQ7" i="4"/>
  <c r="Z9" i="4"/>
  <c r="M28" i="5"/>
  <c r="P27" i="5"/>
  <c r="D221" i="7"/>
  <c r="D219" i="7"/>
  <c r="D220" i="7"/>
  <c r="E17" i="7"/>
  <c r="AC9" i="4"/>
  <c r="AD9" i="4" s="1"/>
  <c r="AA10" i="4" s="1"/>
  <c r="K27" i="5"/>
  <c r="H28" i="5"/>
  <c r="AH8" i="4"/>
  <c r="AG8" i="4"/>
  <c r="C28" i="5"/>
  <c r="F27" i="5"/>
  <c r="R28" i="5"/>
  <c r="U27" i="5"/>
  <c r="AI8" i="4" l="1"/>
  <c r="AE9" i="4" s="1"/>
  <c r="F28" i="5"/>
  <c r="C29" i="5"/>
  <c r="U28" i="5"/>
  <c r="R29" i="5"/>
  <c r="E221" i="7"/>
  <c r="E219" i="7"/>
  <c r="E220" i="7"/>
  <c r="F17" i="7"/>
  <c r="V10" i="4"/>
  <c r="M29" i="5"/>
  <c r="P28" i="5"/>
  <c r="H29" i="5"/>
  <c r="K28" i="5"/>
  <c r="AM8" i="4"/>
  <c r="AL8" i="4"/>
  <c r="AN8" i="4" s="1"/>
  <c r="AJ9" i="4" l="1"/>
  <c r="AQ8" i="4"/>
  <c r="AO8" i="4"/>
  <c r="AP8" i="4" s="1"/>
  <c r="R30" i="5"/>
  <c r="U29" i="5"/>
  <c r="H30" i="5"/>
  <c r="K29" i="5"/>
  <c r="P29" i="5"/>
  <c r="M30" i="5"/>
  <c r="AB10" i="4"/>
  <c r="W10" i="4"/>
  <c r="X10" i="4" s="1"/>
  <c r="AH9" i="4"/>
  <c r="AG9" i="4"/>
  <c r="C30" i="5"/>
  <c r="F29" i="5"/>
  <c r="F219" i="7"/>
  <c r="F221" i="7"/>
  <c r="F220" i="7"/>
  <c r="G17" i="7"/>
  <c r="AI9" i="4" l="1"/>
  <c r="Y10" i="4"/>
  <c r="Z10" i="4" s="1"/>
  <c r="AE10" i="4"/>
  <c r="C31" i="5"/>
  <c r="F30" i="5"/>
  <c r="K30" i="5"/>
  <c r="H31" i="5"/>
  <c r="AC10" i="4"/>
  <c r="AD10" i="4" s="1"/>
  <c r="AA11" i="4" s="1"/>
  <c r="G219" i="7"/>
  <c r="G221" i="7"/>
  <c r="G220" i="7"/>
  <c r="H17" i="7"/>
  <c r="M31" i="5"/>
  <c r="P30" i="5"/>
  <c r="R31" i="5"/>
  <c r="U30" i="5"/>
  <c r="AM9" i="4"/>
  <c r="AL9" i="4"/>
  <c r="AN9" i="4" s="1"/>
  <c r="AJ10" i="4" l="1"/>
  <c r="AO9" i="4"/>
  <c r="AP9" i="4" s="1"/>
  <c r="AQ9" i="4"/>
  <c r="V11" i="4"/>
  <c r="U31" i="5"/>
  <c r="R32" i="5"/>
  <c r="F31" i="5"/>
  <c r="C32" i="5"/>
  <c r="M32" i="5"/>
  <c r="P31" i="5"/>
  <c r="H32" i="5"/>
  <c r="K31" i="5"/>
  <c r="H221" i="7"/>
  <c r="H219" i="7"/>
  <c r="H220" i="7"/>
  <c r="I17" i="7"/>
  <c r="AH10" i="4"/>
  <c r="AG10" i="4"/>
  <c r="AI10" i="4" s="1"/>
  <c r="AE11" i="4" l="1"/>
  <c r="R33" i="5"/>
  <c r="U32" i="5"/>
  <c r="C33" i="5"/>
  <c r="F32" i="5"/>
  <c r="I221" i="7"/>
  <c r="I219" i="7"/>
  <c r="I220" i="7"/>
  <c r="J17" i="7"/>
  <c r="P32" i="5"/>
  <c r="M33" i="5"/>
  <c r="AB11" i="4"/>
  <c r="W11" i="4"/>
  <c r="H33" i="5"/>
  <c r="K32" i="5"/>
  <c r="AM10" i="4"/>
  <c r="AL10" i="4"/>
  <c r="AN10" i="4" l="1"/>
  <c r="AJ11" i="4"/>
  <c r="AO10" i="4"/>
  <c r="AP10" i="4" s="1"/>
  <c r="AQ10" i="4"/>
  <c r="J220" i="7"/>
  <c r="J221" i="7"/>
  <c r="J219" i="7"/>
  <c r="K17" i="7"/>
  <c r="R34" i="5"/>
  <c r="U33" i="5"/>
  <c r="X11" i="4"/>
  <c r="C34" i="5"/>
  <c r="F33" i="5"/>
  <c r="AC11" i="4"/>
  <c r="AD11" i="4" s="1"/>
  <c r="AA12" i="4" s="1"/>
  <c r="K33" i="5"/>
  <c r="H34" i="5"/>
  <c r="M34" i="5"/>
  <c r="P33" i="5"/>
  <c r="AG11" i="4"/>
  <c r="AH11" i="4"/>
  <c r="AI11" i="4" l="1"/>
  <c r="AE12" i="4"/>
  <c r="K220" i="7"/>
  <c r="K221" i="7"/>
  <c r="K219" i="7"/>
  <c r="L17" i="7"/>
  <c r="Y11" i="4"/>
  <c r="Z11" i="4" s="1"/>
  <c r="U34" i="5"/>
  <c r="R35" i="5"/>
  <c r="M35" i="5"/>
  <c r="P34" i="5"/>
  <c r="H35" i="5"/>
  <c r="K34" i="5"/>
  <c r="F34" i="5"/>
  <c r="C35" i="5"/>
  <c r="AM11" i="4"/>
  <c r="AL11" i="4"/>
  <c r="AN11" i="4"/>
  <c r="AJ12" i="4" s="1"/>
  <c r="V12" i="4" l="1"/>
  <c r="AQ11" i="4"/>
  <c r="R36" i="5"/>
  <c r="U35" i="5"/>
  <c r="AM12" i="4"/>
  <c r="AL12" i="4"/>
  <c r="AN12" i="4"/>
  <c r="AJ13" i="4" s="1"/>
  <c r="L221" i="7"/>
  <c r="L220" i="7"/>
  <c r="L219" i="7"/>
  <c r="M17" i="7"/>
  <c r="AO11" i="4"/>
  <c r="AP11" i="4" s="1"/>
  <c r="C36" i="5"/>
  <c r="F35" i="5"/>
  <c r="H36" i="5"/>
  <c r="K35" i="5"/>
  <c r="AH12" i="4"/>
  <c r="AG12" i="4"/>
  <c r="P35" i="5"/>
  <c r="M36" i="5"/>
  <c r="AI12" i="4" l="1"/>
  <c r="AO12" i="4" s="1"/>
  <c r="AE13" i="4"/>
  <c r="M221" i="7"/>
  <c r="M220" i="7"/>
  <c r="M219" i="7"/>
  <c r="N17" i="7"/>
  <c r="M37" i="5"/>
  <c r="P36" i="5"/>
  <c r="R37" i="5"/>
  <c r="U36" i="5"/>
  <c r="AM13" i="4"/>
  <c r="AN13" i="4" s="1"/>
  <c r="AJ14" i="4" s="1"/>
  <c r="AL13" i="4"/>
  <c r="K36" i="5"/>
  <c r="H37" i="5"/>
  <c r="C37" i="5"/>
  <c r="F36" i="5"/>
  <c r="AB12" i="4"/>
  <c r="W12" i="4"/>
  <c r="X12" i="4"/>
  <c r="AM14" i="4" l="1"/>
  <c r="AL14" i="4"/>
  <c r="AN14" i="4" s="1"/>
  <c r="AJ15" i="4" s="1"/>
  <c r="U37" i="5"/>
  <c r="R38" i="5"/>
  <c r="M38" i="5"/>
  <c r="P37" i="5"/>
  <c r="Y12" i="4"/>
  <c r="Z12" i="4" s="1"/>
  <c r="AC12" i="4"/>
  <c r="AD12" i="4"/>
  <c r="AA13" i="4" s="1"/>
  <c r="N220" i="7"/>
  <c r="N221" i="7"/>
  <c r="N219" i="7"/>
  <c r="O17" i="7"/>
  <c r="F37" i="5"/>
  <c r="C38" i="5"/>
  <c r="H38" i="5"/>
  <c r="K37" i="5"/>
  <c r="AH13" i="4"/>
  <c r="AG13" i="4"/>
  <c r="AI13" i="4" l="1"/>
  <c r="AO13" i="4" s="1"/>
  <c r="AE14" i="4"/>
  <c r="V13" i="4"/>
  <c r="AQ12" i="4"/>
  <c r="AM15" i="4"/>
  <c r="AL15" i="4"/>
  <c r="AN15" i="4" s="1"/>
  <c r="AJ16" i="4" s="1"/>
  <c r="H39" i="5"/>
  <c r="K38" i="5"/>
  <c r="C39" i="5"/>
  <c r="F38" i="5"/>
  <c r="P38" i="5"/>
  <c r="M39" i="5"/>
  <c r="AP12" i="4"/>
  <c r="R39" i="5"/>
  <c r="U38" i="5"/>
  <c r="O220" i="7"/>
  <c r="O221" i="7"/>
  <c r="O219" i="7"/>
  <c r="P17" i="7"/>
  <c r="AL16" i="4" l="1"/>
  <c r="AM16" i="4"/>
  <c r="P221" i="7"/>
  <c r="P219" i="7"/>
  <c r="P220" i="7"/>
  <c r="Q17" i="7"/>
  <c r="M40" i="5"/>
  <c r="P39" i="5"/>
  <c r="C40" i="5"/>
  <c r="F39" i="5"/>
  <c r="R40" i="5"/>
  <c r="U39" i="5"/>
  <c r="AH14" i="4"/>
  <c r="AG14" i="4"/>
  <c r="K39" i="5"/>
  <c r="H40" i="5"/>
  <c r="W13" i="4"/>
  <c r="AB13" i="4"/>
  <c r="AN16" i="4" l="1"/>
  <c r="AJ17" i="4" s="1"/>
  <c r="AI14" i="4"/>
  <c r="AO14" i="4" s="1"/>
  <c r="AL17" i="4"/>
  <c r="AM17" i="4"/>
  <c r="AN17" i="4" s="1"/>
  <c r="AJ18" i="4" s="1"/>
  <c r="F40" i="5"/>
  <c r="C41" i="5"/>
  <c r="X13" i="4"/>
  <c r="Y13" i="4" s="1"/>
  <c r="M41" i="5"/>
  <c r="P40" i="5"/>
  <c r="AC13" i="4"/>
  <c r="AD13" i="4" s="1"/>
  <c r="U40" i="5"/>
  <c r="R41" i="5"/>
  <c r="H41" i="5"/>
  <c r="K40" i="5"/>
  <c r="Q221" i="7"/>
  <c r="Q219" i="7"/>
  <c r="Q220" i="7"/>
  <c r="R17" i="7"/>
  <c r="AE15" i="4" l="1"/>
  <c r="AA14" i="4"/>
  <c r="P41" i="5"/>
  <c r="M42" i="5"/>
  <c r="R221" i="7"/>
  <c r="R220" i="7"/>
  <c r="R219" i="7"/>
  <c r="S17" i="7"/>
  <c r="C42" i="5"/>
  <c r="F41" i="5"/>
  <c r="AL18" i="4"/>
  <c r="AM18" i="4"/>
  <c r="R42" i="5"/>
  <c r="U41" i="5"/>
  <c r="Z13" i="4"/>
  <c r="AH15" i="4"/>
  <c r="AG15" i="4"/>
  <c r="AI15" i="4" s="1"/>
  <c r="H42" i="5"/>
  <c r="K41" i="5"/>
  <c r="AN18" i="4" l="1"/>
  <c r="AJ19" i="4" s="1"/>
  <c r="AM19" i="4" s="1"/>
  <c r="AO15" i="4"/>
  <c r="AE16" i="4"/>
  <c r="K42" i="5"/>
  <c r="H43" i="5"/>
  <c r="S221" i="7"/>
  <c r="S220" i="7"/>
  <c r="S219" i="7"/>
  <c r="T17" i="7"/>
  <c r="C43" i="5"/>
  <c r="F42" i="5"/>
  <c r="V14" i="4"/>
  <c r="AQ13" i="4"/>
  <c r="R43" i="5"/>
  <c r="U42" i="5"/>
  <c r="M43" i="5"/>
  <c r="P42" i="5"/>
  <c r="AP13" i="4"/>
  <c r="AL19" i="4" l="1"/>
  <c r="AN19" i="4" s="1"/>
  <c r="AJ20" i="4" s="1"/>
  <c r="AM20" i="4"/>
  <c r="AL20" i="4"/>
  <c r="AN20" i="4" s="1"/>
  <c r="AJ21" i="4" s="1"/>
  <c r="T221" i="7"/>
  <c r="T219" i="7"/>
  <c r="T220" i="7"/>
  <c r="U17" i="7"/>
  <c r="U43" i="5"/>
  <c r="R44" i="5"/>
  <c r="F43" i="5"/>
  <c r="C44" i="5"/>
  <c r="M44" i="5"/>
  <c r="P43" i="5"/>
  <c r="AH16" i="4"/>
  <c r="AG16" i="4"/>
  <c r="AB14" i="4"/>
  <c r="W14" i="4"/>
  <c r="X14" i="4" s="1"/>
  <c r="H44" i="5"/>
  <c r="K43" i="5"/>
  <c r="AI16" i="4" l="1"/>
  <c r="AE17" i="4"/>
  <c r="AO16" i="4"/>
  <c r="Y14" i="4"/>
  <c r="Z14" i="4" s="1"/>
  <c r="AL21" i="4"/>
  <c r="AM21" i="4"/>
  <c r="M45" i="5"/>
  <c r="P44" i="5"/>
  <c r="R45" i="5"/>
  <c r="U44" i="5"/>
  <c r="H45" i="5"/>
  <c r="K44" i="5"/>
  <c r="U221" i="7"/>
  <c r="U219" i="7"/>
  <c r="U220" i="7"/>
  <c r="V17" i="7"/>
  <c r="C45" i="5"/>
  <c r="F44" i="5"/>
  <c r="AC14" i="4"/>
  <c r="AD14" i="4"/>
  <c r="AN21" i="4" l="1"/>
  <c r="AJ22" i="4" s="1"/>
  <c r="AM22" i="4" s="1"/>
  <c r="V15" i="4"/>
  <c r="AQ14" i="4"/>
  <c r="R46" i="5"/>
  <c r="U45" i="5"/>
  <c r="H46" i="5"/>
  <c r="K45" i="5"/>
  <c r="C46" i="5"/>
  <c r="F45" i="5"/>
  <c r="AA15" i="4"/>
  <c r="AP14" i="4"/>
  <c r="V221" i="7"/>
  <c r="V220" i="7"/>
  <c r="V219" i="7"/>
  <c r="W17" i="7"/>
  <c r="M46" i="5"/>
  <c r="P45" i="5"/>
  <c r="AG17" i="4"/>
  <c r="AH17" i="4"/>
  <c r="AL22" i="4" l="1"/>
  <c r="AN22" i="4" s="1"/>
  <c r="AJ23" i="4" s="1"/>
  <c r="AI17" i="4"/>
  <c r="AO17" i="4"/>
  <c r="AE18" i="4"/>
  <c r="AM23" i="4"/>
  <c r="AL23" i="4"/>
  <c r="AN23" i="4"/>
  <c r="AJ24" i="4" s="1"/>
  <c r="H47" i="5"/>
  <c r="K46" i="5"/>
  <c r="C47" i="5"/>
  <c r="F46" i="5"/>
  <c r="R47" i="5"/>
  <c r="U46" i="5"/>
  <c r="M47" i="5"/>
  <c r="P46" i="5"/>
  <c r="W220" i="7"/>
  <c r="W221" i="7"/>
  <c r="W219" i="7"/>
  <c r="X17" i="7"/>
  <c r="W15" i="4"/>
  <c r="X15" i="4" s="1"/>
  <c r="AB15" i="4"/>
  <c r="Y15" i="4" l="1"/>
  <c r="Z15" i="4" s="1"/>
  <c r="R48" i="5"/>
  <c r="U47" i="5"/>
  <c r="C48" i="5"/>
  <c r="F47" i="5"/>
  <c r="H48" i="5"/>
  <c r="K47" i="5"/>
  <c r="AC15" i="4"/>
  <c r="AD15" i="4" s="1"/>
  <c r="X221" i="7"/>
  <c r="X220" i="7"/>
  <c r="X219" i="7"/>
  <c r="Y17" i="7"/>
  <c r="AM24" i="4"/>
  <c r="AL24" i="4"/>
  <c r="AN24" i="4"/>
  <c r="AJ25" i="4" s="1"/>
  <c r="M48" i="5"/>
  <c r="P47" i="5"/>
  <c r="AG18" i="4"/>
  <c r="AH18" i="4"/>
  <c r="AI18" i="4"/>
  <c r="AA16" i="4" l="1"/>
  <c r="AP15" i="4"/>
  <c r="V16" i="4"/>
  <c r="AQ15" i="4"/>
  <c r="H49" i="5"/>
  <c r="K48" i="5"/>
  <c r="C49" i="5"/>
  <c r="F48" i="5"/>
  <c r="R49" i="5"/>
  <c r="U48" i="5"/>
  <c r="M49" i="5"/>
  <c r="P48" i="5"/>
  <c r="AM25" i="4"/>
  <c r="AL25" i="4"/>
  <c r="AN25" i="4" s="1"/>
  <c r="AJ26" i="4" s="1"/>
  <c r="AE19" i="4"/>
  <c r="AO18" i="4"/>
  <c r="Y221" i="7"/>
  <c r="Y220" i="7"/>
  <c r="Y219" i="7"/>
  <c r="Z17" i="7"/>
  <c r="AM26" i="4" l="1"/>
  <c r="AL26" i="4"/>
  <c r="AN26" i="4" s="1"/>
  <c r="AJ27" i="4" s="1"/>
  <c r="P49" i="5"/>
  <c r="M50" i="5"/>
  <c r="U49" i="5"/>
  <c r="R50" i="5"/>
  <c r="C50" i="5"/>
  <c r="F49" i="5"/>
  <c r="AG19" i="4"/>
  <c r="AH19" i="4"/>
  <c r="Z220" i="7"/>
  <c r="Z221" i="7"/>
  <c r="Z219" i="7"/>
  <c r="AA17" i="7"/>
  <c r="K49" i="5"/>
  <c r="H50" i="5"/>
  <c r="AB16" i="4"/>
  <c r="W16" i="4"/>
  <c r="X16" i="4" s="1"/>
  <c r="Y16" i="4" s="1"/>
  <c r="AI19" i="4" l="1"/>
  <c r="AE20" i="4" s="1"/>
  <c r="AO19" i="4"/>
  <c r="AM27" i="4"/>
  <c r="AL27" i="4"/>
  <c r="AN27" i="4" s="1"/>
  <c r="AJ28" i="4" s="1"/>
  <c r="Z16" i="4"/>
  <c r="K50" i="5"/>
  <c r="H51" i="5"/>
  <c r="U50" i="5"/>
  <c r="R51" i="5"/>
  <c r="F50" i="5"/>
  <c r="C51" i="5"/>
  <c r="P50" i="5"/>
  <c r="M51" i="5"/>
  <c r="AA220" i="7"/>
  <c r="AA221" i="7"/>
  <c r="AA219" i="7"/>
  <c r="AB17" i="7"/>
  <c r="AC16" i="4"/>
  <c r="AD16" i="4" s="1"/>
  <c r="AA17" i="4" l="1"/>
  <c r="AP16" i="4"/>
  <c r="AL28" i="4"/>
  <c r="AM28" i="4"/>
  <c r="K51" i="5"/>
  <c r="H52" i="5"/>
  <c r="V17" i="4"/>
  <c r="AQ16" i="4"/>
  <c r="R52" i="5"/>
  <c r="U51" i="5"/>
  <c r="AB221" i="7"/>
  <c r="AB219" i="7"/>
  <c r="AB220" i="7"/>
  <c r="AC17" i="7"/>
  <c r="P51" i="5"/>
  <c r="M52" i="5"/>
  <c r="F51" i="5"/>
  <c r="C52" i="5"/>
  <c r="AH20" i="4"/>
  <c r="AG20" i="4"/>
  <c r="AI20" i="4" l="1"/>
  <c r="AN28" i="4"/>
  <c r="AJ29" i="4" s="1"/>
  <c r="AL29" i="4" s="1"/>
  <c r="AO20" i="4"/>
  <c r="AE21" i="4"/>
  <c r="AM29" i="4"/>
  <c r="U52" i="5"/>
  <c r="R53" i="5"/>
  <c r="AB17" i="4"/>
  <c r="AC17" i="4" s="1"/>
  <c r="AD17" i="4" s="1"/>
  <c r="W17" i="4"/>
  <c r="X17" i="4"/>
  <c r="M53" i="5"/>
  <c r="P52" i="5"/>
  <c r="C53" i="5"/>
  <c r="F52" i="5"/>
  <c r="K52" i="5"/>
  <c r="H53" i="5"/>
  <c r="AC221" i="7"/>
  <c r="AC219" i="7"/>
  <c r="AC220" i="7"/>
  <c r="AD17" i="7"/>
  <c r="AN29" i="4" l="1"/>
  <c r="AJ30" i="4" s="1"/>
  <c r="AA18" i="4"/>
  <c r="AM30" i="4"/>
  <c r="AL30" i="4"/>
  <c r="AN30" i="4" s="1"/>
  <c r="AJ31" i="4" s="1"/>
  <c r="AD221" i="7"/>
  <c r="AD219" i="7"/>
  <c r="AD220" i="7"/>
  <c r="AE17" i="7"/>
  <c r="Y17" i="4"/>
  <c r="Z17" i="4" s="1"/>
  <c r="K53" i="5"/>
  <c r="H10" i="5" s="1"/>
  <c r="D8" i="8" s="1"/>
  <c r="H12" i="5"/>
  <c r="H6" i="5"/>
  <c r="H14" i="5"/>
  <c r="D10" i="8" s="1"/>
  <c r="H13" i="5"/>
  <c r="H16" i="5"/>
  <c r="D11" i="8" s="1"/>
  <c r="H7" i="5"/>
  <c r="D7" i="8" s="1"/>
  <c r="U53" i="5"/>
  <c r="R10" i="5" s="1"/>
  <c r="F8" i="8" s="1"/>
  <c r="R14" i="5"/>
  <c r="F10" i="8" s="1"/>
  <c r="R16" i="5"/>
  <c r="F11" i="8" s="1"/>
  <c r="R13" i="5"/>
  <c r="R7" i="5"/>
  <c r="F7" i="8" s="1"/>
  <c r="R12" i="5"/>
  <c r="R6" i="5"/>
  <c r="F53" i="5"/>
  <c r="C10" i="5" s="1"/>
  <c r="C8" i="8" s="1"/>
  <c r="C12" i="5"/>
  <c r="C6" i="5"/>
  <c r="C14" i="5"/>
  <c r="C10" i="8" s="1"/>
  <c r="C13" i="5"/>
  <c r="C16" i="5"/>
  <c r="C11" i="8" s="1"/>
  <c r="C7" i="5"/>
  <c r="C7" i="8" s="1"/>
  <c r="AG21" i="4"/>
  <c r="AH21" i="4"/>
  <c r="M12" i="5"/>
  <c r="M6" i="5"/>
  <c r="M14" i="5"/>
  <c r="E10" i="8" s="1"/>
  <c r="M16" i="5"/>
  <c r="E11" i="8" s="1"/>
  <c r="M13" i="5"/>
  <c r="M7" i="5"/>
  <c r="E7" i="8" s="1"/>
  <c r="P53" i="5"/>
  <c r="M10" i="5" s="1"/>
  <c r="E8" i="8" s="1"/>
  <c r="AI21" i="4" l="1"/>
  <c r="V18" i="4"/>
  <c r="AQ17" i="4"/>
  <c r="AP17" i="4"/>
  <c r="AO21" i="4"/>
  <c r="AE22" i="4"/>
  <c r="AM31" i="4"/>
  <c r="AL31" i="4"/>
  <c r="AN31" i="4" s="1"/>
  <c r="AJ32" i="4" s="1"/>
  <c r="AE221" i="7"/>
  <c r="AE219" i="7"/>
  <c r="AE220" i="7"/>
  <c r="AF17" i="7"/>
  <c r="AM32" i="4" l="1"/>
  <c r="AL32" i="4"/>
  <c r="AF221" i="7"/>
  <c r="AF219" i="7"/>
  <c r="AF220" i="7"/>
  <c r="AG17" i="7"/>
  <c r="AH22" i="4"/>
  <c r="AG22" i="4"/>
  <c r="AI22" i="4" s="1"/>
  <c r="AB18" i="4"/>
  <c r="W18" i="4"/>
  <c r="AN32" i="4" l="1"/>
  <c r="AJ33" i="4" s="1"/>
  <c r="AE23" i="4"/>
  <c r="AO22" i="4"/>
  <c r="AL33" i="4"/>
  <c r="AM33" i="4"/>
  <c r="AN33" i="4" s="1"/>
  <c r="AJ34" i="4" s="1"/>
  <c r="AC18" i="4"/>
  <c r="AD18" i="4" s="1"/>
  <c r="AG221" i="7"/>
  <c r="AG219" i="7"/>
  <c r="AG220" i="7"/>
  <c r="AH17" i="7"/>
  <c r="X18" i="4"/>
  <c r="Y18" i="4" s="1"/>
  <c r="Z18" i="4" s="1"/>
  <c r="V19" i="4" l="1"/>
  <c r="AQ18" i="4"/>
  <c r="AM34" i="4"/>
  <c r="AL34" i="4"/>
  <c r="AN34" i="4"/>
  <c r="AJ35" i="4" s="1"/>
  <c r="G7" i="7"/>
  <c r="G6" i="7"/>
  <c r="G5" i="7"/>
  <c r="G8" i="7"/>
  <c r="G9" i="7"/>
  <c r="G11" i="7"/>
  <c r="C14" i="8" s="1"/>
  <c r="G10" i="7"/>
  <c r="AA19" i="4"/>
  <c r="AP18" i="4"/>
  <c r="AH23" i="4"/>
  <c r="AG23" i="4"/>
  <c r="AI23" i="4" l="1"/>
  <c r="AO23" i="4"/>
  <c r="AE24" i="4"/>
  <c r="AM35" i="4"/>
  <c r="AL35" i="4"/>
  <c r="AN35" i="4" s="1"/>
  <c r="AJ36" i="4" s="1"/>
  <c r="W19" i="4"/>
  <c r="AB19" i="4"/>
  <c r="X19" i="4"/>
  <c r="Y19" i="4" s="1"/>
  <c r="AM36" i="4" l="1"/>
  <c r="AL36" i="4"/>
  <c r="AN36" i="4"/>
  <c r="Z19" i="4"/>
  <c r="AC19" i="4"/>
  <c r="AD19" i="4" s="1"/>
  <c r="AH24" i="4"/>
  <c r="AG24" i="4"/>
  <c r="AI24" i="4" s="1"/>
  <c r="AA20" i="4" l="1"/>
  <c r="AP19" i="4"/>
  <c r="V20" i="4"/>
  <c r="AQ19" i="4"/>
  <c r="AE25" i="4"/>
  <c r="AO24" i="4"/>
  <c r="AH25" i="4" l="1"/>
  <c r="AG25" i="4"/>
  <c r="AB20" i="4"/>
  <c r="AC20" i="4" s="1"/>
  <c r="W20" i="4"/>
  <c r="X20" i="4"/>
  <c r="AI25" i="4" l="1"/>
  <c r="AO25" i="4"/>
  <c r="AE26" i="4"/>
  <c r="AD20" i="4"/>
  <c r="Y20" i="4"/>
  <c r="Z20" i="4" s="1"/>
  <c r="V21" i="4" l="1"/>
  <c r="AQ20" i="4"/>
  <c r="AH26" i="4"/>
  <c r="AG26" i="4"/>
  <c r="AI26" i="4" s="1"/>
  <c r="AA21" i="4"/>
  <c r="AP20" i="4"/>
  <c r="AE27" i="4" l="1"/>
  <c r="AO26" i="4"/>
  <c r="W21" i="4"/>
  <c r="X21" i="4"/>
  <c r="Y21" i="4" s="1"/>
  <c r="AB21" i="4"/>
  <c r="Z21" i="4" l="1"/>
  <c r="AC21" i="4"/>
  <c r="AD21" i="4" s="1"/>
  <c r="AH27" i="4"/>
  <c r="AG27" i="4"/>
  <c r="AI27" i="4" l="1"/>
  <c r="AO27" i="4"/>
  <c r="AE28" i="4"/>
  <c r="AA22" i="4"/>
  <c r="AP21" i="4"/>
  <c r="V22" i="4"/>
  <c r="AQ21" i="4"/>
  <c r="W22" i="4" l="1"/>
  <c r="AB22" i="4"/>
  <c r="AH28" i="4"/>
  <c r="AG28" i="4"/>
  <c r="AI28" i="4" s="1"/>
  <c r="AE29" i="4" l="1"/>
  <c r="AO28" i="4"/>
  <c r="AC22" i="4"/>
  <c r="AD22" i="4" s="1"/>
  <c r="X22" i="4"/>
  <c r="Y22" i="4" s="1"/>
  <c r="AA23" i="4" l="1"/>
  <c r="Z22" i="4"/>
  <c r="AG29" i="4"/>
  <c r="AH29" i="4"/>
  <c r="AI29" i="4" l="1"/>
  <c r="AE30" i="4"/>
  <c r="AO29" i="4"/>
  <c r="V23" i="4"/>
  <c r="AQ22" i="4"/>
  <c r="AP22" i="4"/>
  <c r="AB23" i="4" l="1"/>
  <c r="W23" i="4"/>
  <c r="AG30" i="4"/>
  <c r="AH30" i="4"/>
  <c r="AI30" i="4" l="1"/>
  <c r="AO30" i="4"/>
  <c r="AE31" i="4"/>
  <c r="AC23" i="4"/>
  <c r="AD23" i="4"/>
  <c r="X23" i="4"/>
  <c r="Y23" i="4" s="1"/>
  <c r="Z23" i="4" l="1"/>
  <c r="AH31" i="4"/>
  <c r="AG31" i="4"/>
  <c r="AA24" i="4"/>
  <c r="AP23" i="4"/>
  <c r="AI31" i="4" l="1"/>
  <c r="AE32" i="4"/>
  <c r="AO31" i="4"/>
  <c r="V24" i="4"/>
  <c r="AQ23" i="4"/>
  <c r="AB24" i="4" l="1"/>
  <c r="W24" i="4"/>
  <c r="X24" i="4" s="1"/>
  <c r="AH32" i="4"/>
  <c r="AG32" i="4"/>
  <c r="AI32" i="4" s="1"/>
  <c r="AO32" i="4" l="1"/>
  <c r="AE33" i="4"/>
  <c r="AC24" i="4"/>
  <c r="AD24" i="4" s="1"/>
  <c r="Y24" i="4"/>
  <c r="Z24" i="4" s="1"/>
  <c r="V25" i="4" l="1"/>
  <c r="AQ24" i="4"/>
  <c r="AA25" i="4"/>
  <c r="AP24" i="4"/>
  <c r="AH33" i="4"/>
  <c r="AG33" i="4"/>
  <c r="AI33" i="4" s="1"/>
  <c r="AE34" i="4" l="1"/>
  <c r="AO33" i="4"/>
  <c r="AB25" i="4"/>
  <c r="W25" i="4"/>
  <c r="AC25" i="4" l="1"/>
  <c r="AD25" i="4" s="1"/>
  <c r="X25" i="4"/>
  <c r="AG34" i="4"/>
  <c r="AH34" i="4"/>
  <c r="AI34" i="4" s="1"/>
  <c r="AE35" i="4" l="1"/>
  <c r="AO34" i="4"/>
  <c r="AA26" i="4"/>
  <c r="Y25" i="4"/>
  <c r="Z25" i="4" s="1"/>
  <c r="V26" i="4" l="1"/>
  <c r="AQ25" i="4"/>
  <c r="AP25" i="4"/>
  <c r="AH35" i="4"/>
  <c r="AG35" i="4"/>
  <c r="AI35" i="4" s="1"/>
  <c r="AO35" i="4" l="1"/>
  <c r="AE36" i="4"/>
  <c r="W26" i="4"/>
  <c r="X26" i="4" s="1"/>
  <c r="AB26" i="4"/>
  <c r="Y26" i="4" l="1"/>
  <c r="Z26" i="4" s="1"/>
  <c r="AC26" i="4"/>
  <c r="AD26" i="4" s="1"/>
  <c r="AH36" i="4"/>
  <c r="AG36" i="4"/>
  <c r="AI36" i="4" l="1"/>
  <c r="AO36" i="4" s="1"/>
  <c r="AA27" i="4"/>
  <c r="AP26" i="4"/>
  <c r="V27" i="4"/>
  <c r="AQ26" i="4"/>
  <c r="W27" i="4" l="1"/>
  <c r="X27" i="4" s="1"/>
  <c r="AB27" i="4"/>
  <c r="AC27" i="4" s="1"/>
  <c r="AD27" i="4" s="1"/>
  <c r="Y27" i="4" l="1"/>
  <c r="Z27" i="4" s="1"/>
  <c r="AA28" i="4"/>
  <c r="AP27" i="4" l="1"/>
  <c r="V28" i="4"/>
  <c r="AQ27" i="4"/>
  <c r="AB28" i="4"/>
  <c r="AC28" i="4" s="1"/>
  <c r="W28" i="4"/>
  <c r="AD28" i="4" l="1"/>
  <c r="X28" i="4"/>
  <c r="Y28" i="4" l="1"/>
  <c r="Z28" i="4" s="1"/>
  <c r="AA29" i="4"/>
  <c r="V29" i="4" l="1"/>
  <c r="AQ28" i="4"/>
  <c r="AP28" i="4"/>
  <c r="W29" i="4" l="1"/>
  <c r="AB29" i="4"/>
  <c r="X29" i="4"/>
  <c r="AC29" i="4" l="1"/>
  <c r="AD29" i="4" s="1"/>
  <c r="Y29" i="4"/>
  <c r="Z29" i="4" s="1"/>
  <c r="V30" i="4" l="1"/>
  <c r="AQ29" i="4"/>
  <c r="AA30" i="4"/>
  <c r="AP29" i="4"/>
  <c r="AB30" i="4" l="1"/>
  <c r="AC30" i="4" s="1"/>
  <c r="W30" i="4"/>
  <c r="X30" i="4"/>
  <c r="Y30" i="4" l="1"/>
  <c r="Z30" i="4" s="1"/>
  <c r="AD30" i="4"/>
  <c r="AA31" i="4" l="1"/>
  <c r="AP30" i="4"/>
  <c r="V31" i="4"/>
  <c r="AQ30" i="4"/>
  <c r="W31" i="4" l="1"/>
  <c r="AB31" i="4"/>
  <c r="AC31" i="4" s="1"/>
  <c r="AD31" i="4" s="1"/>
  <c r="X31" i="4"/>
  <c r="Y31" i="4" l="1"/>
  <c r="Z31" i="4" s="1"/>
  <c r="AA32" i="4"/>
  <c r="AP31" i="4" l="1"/>
  <c r="V32" i="4"/>
  <c r="AQ31" i="4"/>
  <c r="AB32" i="4"/>
  <c r="W32" i="4"/>
  <c r="X32" i="4"/>
  <c r="Y32" i="4" s="1"/>
  <c r="AC32" i="4"/>
  <c r="AD32" i="4" s="1"/>
  <c r="AA33" i="4" l="1"/>
  <c r="Z32" i="4"/>
  <c r="V33" i="4" l="1"/>
  <c r="AQ32" i="4"/>
  <c r="AP32" i="4"/>
  <c r="Y33" i="4" l="1"/>
  <c r="X33" i="4"/>
  <c r="W33" i="4"/>
  <c r="Z33" i="4" s="1"/>
  <c r="AB33" i="4"/>
  <c r="V34" i="4" l="1"/>
  <c r="AQ33" i="4"/>
  <c r="AC33" i="4"/>
  <c r="AD33" i="4" s="1"/>
  <c r="AA34" i="4" l="1"/>
  <c r="AP33" i="4"/>
  <c r="Y34" i="4"/>
  <c r="X34" i="4"/>
  <c r="AB34" i="4"/>
  <c r="W34" i="4"/>
  <c r="Z34" i="4" s="1"/>
  <c r="V35" i="4" l="1"/>
  <c r="AQ34" i="4"/>
  <c r="AC34" i="4"/>
  <c r="AD34" i="4" s="1"/>
  <c r="AA35" i="4" l="1"/>
  <c r="AP34" i="4"/>
  <c r="Y35" i="4"/>
  <c r="AB35" i="4"/>
  <c r="X35" i="4"/>
  <c r="W35" i="4"/>
  <c r="Z35" i="4" s="1"/>
  <c r="V36" i="4" l="1"/>
  <c r="AQ35" i="4"/>
  <c r="AC35" i="4"/>
  <c r="AD35" i="4" s="1"/>
  <c r="AA36" i="4" l="1"/>
  <c r="AP35" i="4"/>
  <c r="W36" i="4"/>
  <c r="AB36" i="4"/>
  <c r="Y36" i="4"/>
  <c r="X36" i="4"/>
  <c r="Z36" i="4" l="1"/>
  <c r="AQ36" i="4" s="1"/>
  <c r="M3" i="4" s="1"/>
  <c r="AC36" i="4"/>
  <c r="AD36" i="4" s="1"/>
  <c r="AP36" i="4" s="1"/>
</calcChain>
</file>

<file path=xl/sharedStrings.xml><?xml version="1.0" encoding="utf-8"?>
<sst xmlns="http://schemas.openxmlformats.org/spreadsheetml/2006/main" count="367" uniqueCount="308">
  <si>
    <t>CLIENT BRIEF - HYPOTHETICAL CASE</t>
  </si>
  <si>
    <t>Constructed for academic purposes. Not a real client. No personal advice is provided.</t>
  </si>
  <si>
    <t>HOUSEHOLD</t>
  </si>
  <si>
    <t>Client 1</t>
  </si>
  <si>
    <t>Daniel Whitmore, age 38. Marketing manager, private sector. Gross salary $105,000 plus super.</t>
  </si>
  <si>
    <t>Client 2</t>
  </si>
  <si>
    <t>Priya Whitmore, age 36. Registered nurse, NSW public health. Gross salary $88,000 plus super.</t>
  </si>
  <si>
    <t>Dependants</t>
  </si>
  <si>
    <t>One child, age 4. No plans for a second.</t>
  </si>
  <si>
    <t>Residence</t>
  </si>
  <si>
    <t>Own home in western Sydney, purchased 2021 for $980,000, current estimate $1,050,000.</t>
  </si>
  <si>
    <t>POSITION</t>
  </si>
  <si>
    <t>Superannuation</t>
  </si>
  <si>
    <t>Daniel $92,000 in a retail fund. Priya $68,000 in an industry fund. Gap reflects Priya's 18-month career break in 2021-22.</t>
  </si>
  <si>
    <t>Mortgage</t>
  </si>
  <si>
    <t>$720,000 outstanding, 25 years remaining, variable at 5.90%.</t>
  </si>
  <si>
    <t>Outside super</t>
  </si>
  <si>
    <t>$45,000 in the offset account, $25,000 in a broad-market ETF held since 2023.</t>
  </si>
  <si>
    <t>Surplus</t>
  </si>
  <si>
    <t>Approximately $34,000 per year of pre-tax income is uncommitted after living costs and the scheduled mortgage repayment.</t>
  </si>
  <si>
    <t>GOALS STATED BY THE CLIENT</t>
  </si>
  <si>
    <t>Goal 1</t>
  </si>
  <si>
    <t>Retire at 67 with the ASFA comfortable couple standard, currently $78,566 per year.</t>
  </si>
  <si>
    <t>Goal 2</t>
  </si>
  <si>
    <t>Clear the mortgage before retirement, ideally well before.</t>
  </si>
  <si>
    <t>Goal 3</t>
  </si>
  <si>
    <t>Understand whether the surplus is better used on super, the mortgage, or investing outside super.</t>
  </si>
  <si>
    <t>RISK AND CONSTRAINTS</t>
  </si>
  <si>
    <t>Risk profile</t>
  </si>
  <si>
    <t>Balanced to growth. Daniel comfortable with volatility, Priya less so. Household agreed on a growth-tilted allocation with a three-month cash buffer.</t>
  </si>
  <si>
    <t>Liquidity</t>
  </si>
  <si>
    <t>Priya wants funds accessible before preservation age in case of a career change. This constrains a super-only strategy.</t>
  </si>
  <si>
    <t>Known issue</t>
  </si>
  <si>
    <t>Daniel's retail fund charges roughly 1.35% all-in versus around 0.65% for a comparable MySuper option.</t>
  </si>
  <si>
    <t>CONSTRUCTION OF THE PROFILE</t>
  </si>
  <si>
    <t>Income</t>
  </si>
  <si>
    <t>Set near AWOTE for full-time professionals. Source: ABS Average Weekly Earnings.</t>
  </si>
  <si>
    <t>Super balances</t>
  </si>
  <si>
    <t>Positioned near the median for the 35-39 age band. Source: ATO Taxation Statistics, super account balances by age.</t>
  </si>
  <si>
    <t>Fees</t>
  </si>
  <si>
    <t>Retail and MySuper fee levels drawn from APRA Quarterly Superannuation Performance statistics.</t>
  </si>
  <si>
    <t>Retirement target</t>
  </si>
  <si>
    <t>ASFA Retirement Standard, March quarter 2026: comfortable couple $78,566 per year, lump sum benchmark $730,000.</t>
  </si>
  <si>
    <t>Mortgage rate</t>
  </si>
  <si>
    <t>Consistent with RBA housing lending rates, standard variable, owner-occupier.</t>
  </si>
  <si>
    <t>THE ADVICE QUESTION</t>
  </si>
  <si>
    <t>Given $34,000 of pre-tax surplus per year, what allocation between concessional super contributions, extra mortgage repayments and investment outside super gives the household the best chance of meeting the ASFA comfortable standard at 67 without breaching their liquidity constraint?</t>
  </si>
  <si>
    <t>Blue = input you can change.  Black = formula.  Yellow = key assumption worth stress testing.</t>
  </si>
  <si>
    <t>CLIENT 1</t>
  </si>
  <si>
    <t>Name</t>
  </si>
  <si>
    <t>Daniel Whitmore</t>
  </si>
  <si>
    <t>Current age</t>
  </si>
  <si>
    <t>Gross salary ($ p.a.)</t>
  </si>
  <si>
    <t>ABS AWEO, full-time adult ordinary time earnings</t>
  </si>
  <si>
    <t>Super balance ($)</t>
  </si>
  <si>
    <t>ATO Taxation Statistics, median 35-39 band</t>
  </si>
  <si>
    <t>CLIENT 2</t>
  </si>
  <si>
    <t>Priya Whitmore</t>
  </si>
  <si>
    <t>Lower balance reflects an 18-month career break</t>
  </si>
  <si>
    <t>Retirement age (both)</t>
  </si>
  <si>
    <t>Projection years</t>
  </si>
  <si>
    <t>Driven by Client 1's age</t>
  </si>
  <si>
    <t>Living expenses ($ p.a., today)</t>
  </si>
  <si>
    <t>Excludes mortgage repayments</t>
  </si>
  <si>
    <t>Pre-tax surplus available ($ p.a.)</t>
  </si>
  <si>
    <t>The amount the strategies compete for</t>
  </si>
  <si>
    <t>Blended marginal tax rate incl. Medicare</t>
  </si>
  <si>
    <t>30% bracket + 2% Medicare levy. Used to convert pre-tax surplus to after-tax.</t>
  </si>
  <si>
    <t>MORTGAGE</t>
  </si>
  <si>
    <t>Balance outstanding ($)</t>
  </si>
  <si>
    <t>Interest rate (p.a.)</t>
  </si>
  <si>
    <t>RBA housing lending rates, owner-occupier variable</t>
  </si>
  <si>
    <t>Term remaining (years)</t>
  </si>
  <si>
    <t>Scheduled annual repayment ($)</t>
  </si>
  <si>
    <t>Annual PMT on the balance, rate and term above</t>
  </si>
  <si>
    <t>OUTSIDE SUPER</t>
  </si>
  <si>
    <t>Offset / cash ($)</t>
  </si>
  <si>
    <t>ETF portfolio ($)</t>
  </si>
  <si>
    <t>MARKET AND FEE ASSUMPTIONS</t>
  </si>
  <si>
    <t>Super gross return (p.a.)</t>
  </si>
  <si>
    <t>Growth-tilted option, long-run nominal</t>
  </si>
  <si>
    <t>Outside-super gross return (p.a.)</t>
  </si>
  <si>
    <t>Net of an assumed tax drag on distributions</t>
  </si>
  <si>
    <t>Return volatility (std dev, p.a.)</t>
  </si>
  <si>
    <t>Used only by the Monte Carlo sheet</t>
  </si>
  <si>
    <t>Inflation (p.a.)</t>
  </si>
  <si>
    <t>RBA target midpoint</t>
  </si>
  <si>
    <t>Wage growth (p.a.)</t>
  </si>
  <si>
    <t>Current fund fee (p.a.)</t>
  </si>
  <si>
    <t>Retail fund, all-in. APRA Quarterly Super Performance</t>
  </si>
  <si>
    <t>Alternative MySuper fee (p.a.)</t>
  </si>
  <si>
    <t>Comparable MySuper balanced option</t>
  </si>
  <si>
    <t>FEE APPLIED IN MODEL</t>
  </si>
  <si>
    <t>Switch between the two above to run the fee comparison</t>
  </si>
  <si>
    <t>SCENARIO SWITCH</t>
  </si>
  <si>
    <t>Active scenario (1-4)</t>
  </si>
  <si>
    <t>Drives the Engine sheet. Scenarios sheet runs all four at once.</t>
  </si>
  <si>
    <t>STRATEGY TABLE</t>
  </si>
  <si>
    <t>#</t>
  </si>
  <si>
    <t>Strategy</t>
  </si>
  <si>
    <t>Salary sacrifice (pre-tax $)</t>
  </si>
  <si>
    <t>Extra mortgage (after-tax $)</t>
  </si>
  <si>
    <t>Outside investment (after-tax $)</t>
  </si>
  <si>
    <t>Base case - surplus invested outside super</t>
  </si>
  <si>
    <t>Salary sacrifice the full surplus</t>
  </si>
  <si>
    <t>Extra mortgage repayments</t>
  </si>
  <si>
    <t>Split 50/50 super and mortgage</t>
  </si>
  <si>
    <t>Note: pre-tax dollars buy more inside super (taxed 15%) than outside (taxed at the marginal rate). The table converts the surplus at the marginal rate so each strategy spends the same pre-tax amount.</t>
  </si>
  <si>
    <t>RULES AND THRESHOLDS - FY2026-27</t>
  </si>
  <si>
    <t>Every rate the model uses lives here. Formulas reference these cells, never a typed number. Update this sheet each 1 July.</t>
  </si>
  <si>
    <t>RESIDENT INCOME TAX SCALE</t>
  </si>
  <si>
    <t>Lower threshold ($)</t>
  </si>
  <si>
    <t>Upper threshold ($)</t>
  </si>
  <si>
    <t>Marginal rate</t>
  </si>
  <si>
    <t>Incremental rate</t>
  </si>
  <si>
    <t>Source: ATO, Tax rates - Australian resident, 2026-27. The 15% rate took effect 1 July 2026.</t>
  </si>
  <si>
    <t>Incremental rate = this bracket's rate less the previous bracket's. Used by the SUMPRODUCT tax formula.</t>
  </si>
  <si>
    <t>and above</t>
  </si>
  <si>
    <t>SUPERANNUATION AND OTHER PARAMETERS</t>
  </si>
  <si>
    <t>Medicare levy</t>
  </si>
  <si>
    <t>ATO. Low-income shade-in ignored; immaterial at these incomes.</t>
  </si>
  <si>
    <t>Superannuation guarantee rate</t>
  </si>
  <si>
    <t>ATO. 12% from 1 July 2025, unchanged for 2026-27.</t>
  </si>
  <si>
    <t>Maximum contribution base ($ p.a.)</t>
  </si>
  <si>
    <t>ATO 2026-27. Applied annually here; in practice it is a quarterly test.</t>
  </si>
  <si>
    <t>Concessional contributions cap ($)</t>
  </si>
  <si>
    <t>ATO 2026-27, indexed up from $30,000.</t>
  </si>
  <si>
    <t>Contributions tax</t>
  </si>
  <si>
    <t>Tax on concessional contributions inside the fund.</t>
  </si>
  <si>
    <t>Division 293 income threshold ($)</t>
  </si>
  <si>
    <t>ATO. Neither client reaches this, but the logic is built in.</t>
  </si>
  <si>
    <t>Division 293 additional tax</t>
  </si>
  <si>
    <t>Extra 15% on concessional contributions above the threshold.</t>
  </si>
  <si>
    <t>Non-concessional cap ($)</t>
  </si>
  <si>
    <t>ATO 2026-27, up from $120,000. Not used in the base strategies.</t>
  </si>
  <si>
    <t>Preservation age</t>
  </si>
  <si>
    <t>Age 60 for anyone born after 30 June 1964.</t>
  </si>
  <si>
    <t>Transfer balance cap ($)</t>
  </si>
  <si>
    <t>ATO, from 1 July 2026.</t>
  </si>
  <si>
    <t>CGT discount (assets held &gt; 12 months)</t>
  </si>
  <si>
    <t>Applies to the outside-super portfolio.</t>
  </si>
  <si>
    <t>ASFA comfortable - couple, annual ($)</t>
  </si>
  <si>
    <t>ASFA Retirement Standard, March quarter 2026. Homeowners.</t>
  </si>
  <si>
    <t>ASFA comfortable - couple, lump sum ($)</t>
  </si>
  <si>
    <t>ASFA. Revised February 2026, first change in three years.</t>
  </si>
  <si>
    <t>ASFA modest - couple, annual ($)</t>
  </si>
  <si>
    <t>ASFA Retirement Standard, March quarter 2026.</t>
  </si>
  <si>
    <t>Target income replacement rate</t>
  </si>
  <si>
    <t>Adviser convention. ASFA comfortable is a low bar for this household's income.</t>
  </si>
  <si>
    <t>Safe withdrawal rate</t>
  </si>
  <si>
    <t>Used to convert a capital balance into a sustainable retirement income.</t>
  </si>
  <si>
    <t>SIMPLIFICATIONS - state these in the write-up</t>
  </si>
  <si>
    <t>- Age Pension entitlement is not modelled. Including it would raise the projected retirement income and is a natural extension.</t>
  </si>
  <si>
    <t>- Medicare levy is applied flat at 2%; the low-income shade-in and the surcharge are ignored.</t>
  </si>
  <si>
    <t>- Tax offsets (LITO, SAPTO) are ignored.</t>
  </si>
  <si>
    <t>- Outside-super returns are modelled net of an assumed tax drag rather than year-by-year CGT and franking.</t>
  </si>
  <si>
    <t>- Both clients are assumed to work continuously to age 67 with no further career breaks.</t>
  </si>
  <si>
    <t>- The maximum contribution base is applied annually rather than quarterly.</t>
  </si>
  <si>
    <t>Active strategy:</t>
  </si>
  <si>
    <t>Change the active scenario on the Inputs sheet. The Scenarios sheet runs all four side by side.</t>
  </si>
  <si>
    <t>All checks OK:</t>
  </si>
  <si>
    <t>Year</t>
  </si>
  <si>
    <t>Financial year</t>
  </si>
  <si>
    <t>Age - D</t>
  </si>
  <si>
    <t>Age - P</t>
  </si>
  <si>
    <t>Salary - D ($)</t>
  </si>
  <si>
    <t>Salary - P ($)</t>
  </si>
  <si>
    <t>Salary sacrifice - D ($)</t>
  </si>
  <si>
    <t>Salary sacrifice - P ($)</t>
  </si>
  <si>
    <t>SG - D ($)</t>
  </si>
  <si>
    <t>SG - P ($)</t>
  </si>
  <si>
    <t>Concessional - D ($)</t>
  </si>
  <si>
    <t>Concessional - P ($)</t>
  </si>
  <si>
    <t>Concessional cap ($)</t>
  </si>
  <si>
    <t>Excess - D ($)</t>
  </si>
  <si>
    <t>Excess - P ($)</t>
  </si>
  <si>
    <t>Taxable income - D ($)</t>
  </si>
  <si>
    <t>Taxable income - P ($)</t>
  </si>
  <si>
    <t>Income tax - D ($)</t>
  </si>
  <si>
    <t>Income tax - P ($)</t>
  </si>
  <si>
    <t>Net household income ($)</t>
  </si>
  <si>
    <t>Living expenses ($)</t>
  </si>
  <si>
    <t>Mortgage open ($)</t>
  </si>
  <si>
    <t>Interest ($)</t>
  </si>
  <si>
    <t>Scheduled repayment ($)</t>
  </si>
  <si>
    <t>Extra repayment ($)</t>
  </si>
  <si>
    <t>Mortgage close ($)</t>
  </si>
  <si>
    <t>Outside open ($)</t>
  </si>
  <si>
    <t>Outside contribution ($)</t>
  </si>
  <si>
    <t>Outside return ($)</t>
  </si>
  <si>
    <t>Outside close ($)</t>
  </si>
  <si>
    <t>Super open - D ($)</t>
  </si>
  <si>
    <t>Net contributions - D ($)</t>
  </si>
  <si>
    <t>Return - D ($)</t>
  </si>
  <si>
    <t>Fees - D ($)</t>
  </si>
  <si>
    <t>Super close - D ($)</t>
  </si>
  <si>
    <t>Super open - P ($)</t>
  </si>
  <si>
    <t>Net contributions - P ($)</t>
  </si>
  <si>
    <t>Return - P ($)</t>
  </si>
  <si>
    <t>Fees - P ($)</t>
  </si>
  <si>
    <t>Super close - P ($)</t>
  </si>
  <si>
    <t>Total super ($)</t>
  </si>
  <si>
    <t>Net wealth ($)</t>
  </si>
  <si>
    <t>Check</t>
  </si>
  <si>
    <t>FY27</t>
  </si>
  <si>
    <t>FY28</t>
  </si>
  <si>
    <t>FY29</t>
  </si>
  <si>
    <t>FY30</t>
  </si>
  <si>
    <t>FY31</t>
  </si>
  <si>
    <t>FY32</t>
  </si>
  <si>
    <t>FY33</t>
  </si>
  <si>
    <t>FY34</t>
  </si>
  <si>
    <t>FY35</t>
  </si>
  <si>
    <t>FY36</t>
  </si>
  <si>
    <t>FY37</t>
  </si>
  <si>
    <t>FY38</t>
  </si>
  <si>
    <t>FY39</t>
  </si>
  <si>
    <t>FY40</t>
  </si>
  <si>
    <t>FY41</t>
  </si>
  <si>
    <t>FY42</t>
  </si>
  <si>
    <t>FY43</t>
  </si>
  <si>
    <t>FY44</t>
  </si>
  <si>
    <t>FY45</t>
  </si>
  <si>
    <t>FY46</t>
  </si>
  <si>
    <t>FY47</t>
  </si>
  <si>
    <t>FY48</t>
  </si>
  <si>
    <t>FY49</t>
  </si>
  <si>
    <t>FY50</t>
  </si>
  <si>
    <t>FY51</t>
  </si>
  <si>
    <t>FY52</t>
  </si>
  <si>
    <t>FY53</t>
  </si>
  <si>
    <t>FY54</t>
  </si>
  <si>
    <t>FY55</t>
  </si>
  <si>
    <t>FY56</t>
  </si>
  <si>
    <t>SCENARIOS - all four strategies run side by side</t>
  </si>
  <si>
    <t>Simplified roll-forward. The Engine sheet holds the detailed version of whichever scenario is active.</t>
  </si>
  <si>
    <t>SUMMARY AT RETIREMENT</t>
  </si>
  <si>
    <t>1. Base case</t>
  </si>
  <si>
    <t>2. Salary sacrifice</t>
  </si>
  <si>
    <t>3. Extra mortgage</t>
  </si>
  <si>
    <t>4. Split 50/50</t>
  </si>
  <si>
    <t>Terminal super - nominal ($)</t>
  </si>
  <si>
    <t>Terminal super - today's dollars ($)</t>
  </si>
  <si>
    <t>Terminal outside super - today's dollars ($)</t>
  </si>
  <si>
    <t>Mortgage remaining ($)</t>
  </si>
  <si>
    <t>Net wealth - today's dollars ($)</t>
  </si>
  <si>
    <t>Years until mortgage cleared</t>
  </si>
  <si>
    <t>Super vs ASFA lump sum ($730,000, today's $)</t>
  </si>
  <si>
    <t>Meets ASFA comfortable benchmark</t>
  </si>
  <si>
    <t>Retirement income at 4% drawdown (today's $)</t>
  </si>
  <si>
    <t>70% replacement target (today's $)</t>
  </si>
  <si>
    <t>Surplus / (shortfall) vs target ($)</t>
  </si>
  <si>
    <t>Super ($)</t>
  </si>
  <si>
    <t>Mortgage ($)</t>
  </si>
  <si>
    <t>Outside ($)</t>
  </si>
  <si>
    <t>SENSITIVITY</t>
  </si>
  <si>
    <t>Closed-form projection used for the grids: opening balance compounded at (return less fee), plus a contribution stream growing at wage growth. Results in today's dollars.</t>
  </si>
  <si>
    <t>Contribution growth</t>
  </si>
  <si>
    <t>Years to retirement</t>
  </si>
  <si>
    <t>Inflation deflator</t>
  </si>
  <si>
    <t>GRID 1 - Terminal household super (today's $): fee against gross return</t>
  </si>
  <si>
    <t>Fee (p.a.)  \  Return (p.a.)</t>
  </si>
  <si>
    <t>Read the fee column at the base-case 7.0% return: the difference between 0.60% and 1.40% is the cost of staying in the retail fund.</t>
  </si>
  <si>
    <t>GRID 2 - Terminal household super (today's $): gross return against retirement age</t>
  </si>
  <si>
    <t>Return (p.a.)  \  Retirement age</t>
  </si>
  <si>
    <t>FEE DRAG PATH - household super balance, today's dollars</t>
  </si>
  <si>
    <t>At current fee</t>
  </si>
  <si>
    <t>At MySuper fee</t>
  </si>
  <si>
    <t>Difference</t>
  </si>
  <si>
    <t>MONTE CARLO - household superannuation</t>
  </si>
  <si>
    <t>200 trials. Annual returns drawn from a normal distribution. Volatile: values redraw on every recalculation. Paste-special as values before quoting a figure in the write-up.</t>
  </si>
  <si>
    <t>RESULTS</t>
  </si>
  <si>
    <t>10th percentile ($)</t>
  </si>
  <si>
    <t>90th percentile ($)</t>
  </si>
  <si>
    <t>Years</t>
  </si>
  <si>
    <t>TRIAL PATHS - balance at end of each year</t>
  </si>
  <si>
    <t>Trial</t>
  </si>
  <si>
    <t>Terminal</t>
  </si>
  <si>
    <t>Percentile band by year</t>
  </si>
  <si>
    <t>10th percentile</t>
  </si>
  <si>
    <t>Median</t>
  </si>
  <si>
    <t>90th percentile</t>
  </si>
  <si>
    <t>DASHBOARD</t>
  </si>
  <si>
    <t>All figures in today's dollars unless the label says nominal.</t>
  </si>
  <si>
    <t>HEADLINE COMPARISON</t>
  </si>
  <si>
    <t>Base case</t>
  </si>
  <si>
    <t>Salary sacrifice</t>
  </si>
  <si>
    <t>Extra mortgage</t>
  </si>
  <si>
    <t>Split 50/50</t>
  </si>
  <si>
    <t>Terminal super (today's $)</t>
  </si>
  <si>
    <t>Net wealth (today's $)</t>
  </si>
  <si>
    <t>Retirement income at 4% (today's $)</t>
  </si>
  <si>
    <t xml:space="preserve">INPUTS </t>
  </si>
  <si>
    <t>Opening household 
super ($)</t>
  </si>
  <si>
    <t>Year 1 
net contributions ($)</t>
  </si>
  <si>
    <t>Year 1 net 
contributions ($)</t>
  </si>
  <si>
    <t>Contribution 
growth (p.a.)</t>
  </si>
  <si>
    <t>Mean net 
return (p.a.)</t>
  </si>
  <si>
    <t>Return 
volatility (p.a.)</t>
  </si>
  <si>
    <t>ASFA lump sum 
target, nominal ($)</t>
  </si>
  <si>
    <t>70% replacement 
capital, nominal ($)</t>
  </si>
  <si>
    <t>Mean terminal
balance ($)</t>
  </si>
  <si>
    <t>Median terminal 
balance ($)</t>
  </si>
  <si>
    <t>Median in 
today's dollars ($)</t>
  </si>
  <si>
    <t>Probability of 
meeting ASFA target</t>
  </si>
  <si>
    <t>Prob. super alone 
meets 70% replacement</t>
  </si>
  <si>
    <t xml:space="preserve">ENGINE </t>
  </si>
  <si>
    <t>Prob. super alone meets 70% target 
(SG only, excl. outside super)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</si>
</sst>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quot;($&quot;#,##0\);\-"/>
    <numFmt numFmtId="165" formatCode="0.0%"/>
    <numFmt numFmtId="166" formatCode="0.000"/>
  </numFmts>
  <fonts count="13" x14ac:knownFonts="1">
    <font>
      <sz val="11"/>
      <color theme="1"/>
      <name val="Calibri"/>
      <family val="2"/>
      <charset val="1"/>
    </font>
    <font>
      <b/>
      <sz val="14"/>
      <name val="Arial"/>
      <charset val="1"/>
    </font>
    <font>
      <i/>
      <sz val="9"/>
      <color rgb="FF595959"/>
      <name val="Arial"/>
      <charset val="1"/>
    </font>
    <font>
      <b/>
      <sz val="11"/>
      <name val="Arial"/>
      <charset val="1"/>
    </font>
    <font>
      <b/>
      <sz val="10"/>
      <name val="Arial"/>
      <charset val="1"/>
    </font>
    <font>
      <sz val="10"/>
      <name val="Arial"/>
      <charset val="1"/>
    </font>
    <font>
      <sz val="10"/>
      <color rgb="FF0000FF"/>
      <name val="Arial"/>
      <charset val="1"/>
    </font>
    <font>
      <b/>
      <sz val="10"/>
      <color rgb="FFFFFFFF"/>
      <name val="Arial"/>
      <charset val="1"/>
    </font>
    <font>
      <b/>
      <sz val="9"/>
      <color rgb="FFFFFFFF"/>
      <name val="Arial"/>
      <charset val="1"/>
    </font>
    <font>
      <sz val="10"/>
      <color rgb="FF008000"/>
      <name val="Arial"/>
      <charset val="1"/>
    </font>
    <font>
      <b/>
      <i/>
      <sz val="9"/>
      <name val="Arial"/>
      <family val="2"/>
    </font>
    <font>
      <b/>
      <sz val="14"/>
      <name val="Arial"/>
      <family val="2"/>
    </font>
    <font>
      <sz val="10"/>
      <name val="Arial"/>
      <family val="2"/>
    </font>
  </fonts>
  <fills count="8">
    <fill>
      <patternFill patternType="none"/>
    </fill>
    <fill>
      <patternFill patternType="gray125"/>
    </fill>
    <fill>
      <patternFill patternType="solid">
        <fgColor rgb="FFFFFF00"/>
        <bgColor rgb="FFFFFF00"/>
      </patternFill>
    </fill>
    <fill>
      <patternFill patternType="solid">
        <fgColor rgb="FF1F3864"/>
        <bgColor rgb="FF333399"/>
      </patternFill>
    </fill>
    <fill>
      <patternFill patternType="solid">
        <fgColor rgb="FFF2F2F2"/>
        <bgColor rgb="FFFFFFFF"/>
      </patternFill>
    </fill>
    <fill>
      <patternFill patternType="solid">
        <fgColor theme="4" tint="0.59999389629810485"/>
        <bgColor indexed="64"/>
      </patternFill>
    </fill>
    <fill>
      <patternFill patternType="solid">
        <fgColor theme="9" tint="0.39997558519241921"/>
        <bgColor indexed="64"/>
      </patternFill>
    </fill>
    <fill>
      <patternFill patternType="solid">
        <fgColor theme="4" tint="0.39997558519241921"/>
        <bgColor indexed="64"/>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1">
    <xf numFmtId="0" fontId="0" fillId="0" borderId="0" xfId="0"/>
    <xf numFmtId="0" fontId="5" fillId="0" borderId="0" xfId="0" applyFont="1" applyAlignment="1">
      <alignment horizontal="left"/>
    </xf>
    <xf numFmtId="0" fontId="2" fillId="0" borderId="0" xfId="0" applyFont="1"/>
    <xf numFmtId="0" fontId="3" fillId="0" borderId="0" xfId="0" applyFont="1"/>
    <xf numFmtId="0" fontId="4" fillId="0" borderId="0" xfId="0" applyFont="1"/>
    <xf numFmtId="0" fontId="5" fillId="0" borderId="0" xfId="0" applyFont="1" applyAlignment="1">
      <alignment vertical="top" wrapText="1"/>
    </xf>
    <xf numFmtId="0" fontId="5" fillId="0" borderId="0" xfId="0" applyFont="1"/>
    <xf numFmtId="0" fontId="5" fillId="0" borderId="1" xfId="0" applyFont="1" applyBorder="1"/>
    <xf numFmtId="164" fontId="5" fillId="0" borderId="1" xfId="0" applyNumberFormat="1" applyFont="1" applyBorder="1"/>
    <xf numFmtId="0" fontId="6" fillId="2" borderId="1" xfId="0" applyFont="1" applyFill="1" applyBorder="1"/>
    <xf numFmtId="0" fontId="7" fillId="3" borderId="0" xfId="0" applyFont="1" applyFill="1" applyAlignment="1">
      <alignment horizontal="center" vertical="center" wrapText="1"/>
    </xf>
    <xf numFmtId="0" fontId="8" fillId="3" borderId="0" xfId="0" applyFont="1" applyFill="1" applyAlignment="1">
      <alignment horizontal="center" vertical="center" wrapText="1"/>
    </xf>
    <xf numFmtId="164" fontId="5" fillId="0" borderId="0" xfId="0" applyNumberFormat="1" applyFont="1"/>
    <xf numFmtId="0" fontId="5" fillId="4" borderId="0" xfId="0" applyFont="1" applyFill="1"/>
    <xf numFmtId="164" fontId="5" fillId="4" borderId="0" xfId="0" applyNumberFormat="1" applyFont="1" applyFill="1"/>
    <xf numFmtId="0" fontId="8" fillId="3" borderId="0" xfId="0" applyFont="1" applyFill="1" applyAlignment="1">
      <alignment horizontal="center"/>
    </xf>
    <xf numFmtId="0" fontId="5" fillId="0" borderId="0" xfId="0" applyFont="1" applyAlignment="1">
      <alignment horizontal="left"/>
    </xf>
    <xf numFmtId="0" fontId="8" fillId="3" borderId="0" xfId="0" applyFont="1" applyFill="1" applyAlignment="1">
      <alignment horizontal="center" vertical="center"/>
    </xf>
    <xf numFmtId="165" fontId="8" fillId="3" borderId="0" xfId="0" applyNumberFormat="1" applyFont="1" applyFill="1" applyAlignment="1">
      <alignment horizontal="center"/>
    </xf>
    <xf numFmtId="10" fontId="8" fillId="3" borderId="0" xfId="0" applyNumberFormat="1" applyFont="1" applyFill="1" applyAlignment="1">
      <alignment horizontal="center"/>
    </xf>
    <xf numFmtId="0" fontId="8" fillId="3" borderId="0" xfId="0" applyFont="1" applyFill="1"/>
    <xf numFmtId="0" fontId="0" fillId="0" borderId="2" xfId="0" applyBorder="1"/>
    <xf numFmtId="0" fontId="5" fillId="0" borderId="2" xfId="0" applyFont="1" applyBorder="1" applyAlignment="1">
      <alignment vertical="top" wrapText="1"/>
    </xf>
    <xf numFmtId="0" fontId="0" fillId="0" borderId="0" xfId="0" applyBorder="1"/>
    <xf numFmtId="0" fontId="3" fillId="0" borderId="2" xfId="0" applyFont="1" applyBorder="1" applyAlignment="1">
      <alignment vertical="center"/>
    </xf>
    <xf numFmtId="0" fontId="4" fillId="0" borderId="2" xfId="0" applyFont="1" applyBorder="1" applyAlignment="1">
      <alignment vertical="center"/>
    </xf>
    <xf numFmtId="0" fontId="0" fillId="0" borderId="0" xfId="0" applyAlignment="1">
      <alignment vertical="center"/>
    </xf>
    <xf numFmtId="0" fontId="0" fillId="0" borderId="0" xfId="0" applyBorder="1" applyAlignment="1">
      <alignment vertical="center"/>
    </xf>
    <xf numFmtId="0" fontId="1" fillId="5" borderId="0" xfId="0" applyFont="1" applyFill="1"/>
    <xf numFmtId="0" fontId="10" fillId="5" borderId="0" xfId="0" applyFont="1" applyFill="1"/>
    <xf numFmtId="0" fontId="5" fillId="0" borderId="2" xfId="0" applyFont="1" applyBorder="1"/>
    <xf numFmtId="10" fontId="6" fillId="2" borderId="2" xfId="0" applyNumberFormat="1" applyFont="1" applyFill="1" applyBorder="1"/>
    <xf numFmtId="10" fontId="6" fillId="0" borderId="2" xfId="0" applyNumberFormat="1" applyFont="1" applyBorder="1"/>
    <xf numFmtId="0" fontId="6" fillId="0" borderId="2" xfId="0" applyFont="1" applyBorder="1"/>
    <xf numFmtId="164" fontId="6" fillId="0" borderId="2" xfId="0" applyNumberFormat="1" applyFont="1" applyBorder="1"/>
    <xf numFmtId="164" fontId="6" fillId="2" borderId="2" xfId="0" applyNumberFormat="1" applyFont="1" applyFill="1" applyBorder="1"/>
    <xf numFmtId="164" fontId="5" fillId="0" borderId="2" xfId="0" applyNumberFormat="1" applyFont="1" applyBorder="1"/>
    <xf numFmtId="0" fontId="5" fillId="0" borderId="2" xfId="0" applyFont="1" applyBorder="1" applyAlignment="1">
      <alignment horizontal="center" vertical="center"/>
    </xf>
    <xf numFmtId="165" fontId="6" fillId="0" borderId="2" xfId="0" applyNumberFormat="1" applyFont="1" applyBorder="1"/>
    <xf numFmtId="0" fontId="5" fillId="0" borderId="1" xfId="0" applyFont="1" applyBorder="1" applyAlignment="1">
      <alignment horizontal="right"/>
    </xf>
    <xf numFmtId="164" fontId="9" fillId="0" borderId="2" xfId="0" applyNumberFormat="1" applyFont="1" applyBorder="1"/>
    <xf numFmtId="10" fontId="9" fillId="0" borderId="2" xfId="0" applyNumberFormat="1" applyFont="1" applyBorder="1"/>
    <xf numFmtId="0" fontId="9" fillId="0" borderId="2" xfId="0" applyFont="1" applyBorder="1"/>
    <xf numFmtId="166" fontId="9" fillId="0" borderId="2" xfId="0" applyNumberFormat="1" applyFont="1" applyBorder="1"/>
    <xf numFmtId="0" fontId="8" fillId="3" borderId="2" xfId="0" applyFont="1" applyFill="1" applyBorder="1" applyAlignment="1">
      <alignment horizontal="center"/>
    </xf>
    <xf numFmtId="0" fontId="12" fillId="0" borderId="2" xfId="0" applyFont="1" applyBorder="1" applyAlignment="1">
      <alignment wrapText="1"/>
    </xf>
    <xf numFmtId="0" fontId="5" fillId="0" borderId="2" xfId="0" applyFont="1" applyBorder="1" applyAlignment="1">
      <alignment vertical="center"/>
    </xf>
    <xf numFmtId="165" fontId="5" fillId="2" borderId="2" xfId="0" applyNumberFormat="1" applyFont="1" applyFill="1" applyBorder="1"/>
    <xf numFmtId="0" fontId="8" fillId="3" borderId="2" xfId="0" applyFont="1" applyFill="1" applyBorder="1" applyAlignment="1">
      <alignment horizontal="center" vertical="center" wrapText="1"/>
    </xf>
    <xf numFmtId="165" fontId="9" fillId="2" borderId="2" xfId="0" applyNumberFormat="1" applyFont="1" applyFill="1" applyBorder="1"/>
    <xf numFmtId="0" fontId="11" fillId="5" borderId="0" xfId="0" applyFont="1" applyFill="1"/>
    <xf numFmtId="0" fontId="0" fillId="5" borderId="0" xfId="0" applyFill="1"/>
    <xf numFmtId="0" fontId="2" fillId="5" borderId="0" xfId="0" applyFont="1" applyFill="1"/>
    <xf numFmtId="0" fontId="1" fillId="5" borderId="0" xfId="0" applyFont="1" applyFill="1"/>
    <xf numFmtId="0" fontId="3" fillId="6" borderId="0" xfId="0" applyFont="1" applyFill="1"/>
    <xf numFmtId="0" fontId="0" fillId="6" borderId="0" xfId="0" applyFill="1"/>
    <xf numFmtId="0" fontId="9" fillId="6" borderId="0" xfId="0" applyFont="1" applyFill="1"/>
    <xf numFmtId="0" fontId="5" fillId="6" borderId="0" xfId="0" applyFont="1" applyFill="1"/>
    <xf numFmtId="0" fontId="1" fillId="7" borderId="0" xfId="0" applyFont="1" applyFill="1"/>
    <xf numFmtId="0" fontId="0" fillId="7" borderId="0" xfId="0" applyFill="1"/>
    <xf numFmtId="0" fontId="2" fillId="7" borderId="0" xfId="0" applyFont="1" applyFill="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78787"/>
      <rgbColor rgb="FF9999FF"/>
      <rgbColor rgb="FFBE4B48"/>
      <rgbColor rgb="FFF2F2F2"/>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A7EBB"/>
      <rgbColor rgb="FF33CCCC"/>
      <rgbColor rgb="FF98B855"/>
      <rgbColor rgb="FFFFCC00"/>
      <rgbColor rgb="FFFF9900"/>
      <rgbColor rgb="FFFF6600"/>
      <rgbColor rgb="FF7D5FA0"/>
      <rgbColor rgb="FF969696"/>
      <rgbColor rgb="FF1F3864"/>
      <rgbColor rgb="FF4F81BD"/>
      <rgbColor rgb="FF003300"/>
      <rgbColor rgb="FF333300"/>
      <rgbColor rgb="FF993300"/>
      <rgbColor rgb="FFC0504D"/>
      <rgbColor rgb="FF333399"/>
      <rgbColor rgb="FF595959"/>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Net wealth by strategy (nominal $)</a:t>
            </a:r>
          </a:p>
        </c:rich>
      </c:tx>
      <c:overlay val="0"/>
      <c:spPr>
        <a:noFill/>
        <a:ln w="0">
          <a:noFill/>
        </a:ln>
      </c:spPr>
    </c:title>
    <c:autoTitleDeleted val="0"/>
    <c:plotArea>
      <c:layout/>
      <c:lineChart>
        <c:grouping val="standard"/>
        <c:varyColors val="0"/>
        <c:ser>
          <c:idx val="0"/>
          <c:order val="0"/>
          <c:tx>
            <c:strRef>
              <c:f>Scenarios!$C$22</c:f>
              <c:strCache>
                <c:ptCount val="1"/>
                <c:pt idx="0">
                  <c:v>1. Base case</c:v>
                </c:pt>
              </c:strCache>
            </c:strRef>
          </c:tx>
          <c:spPr>
            <a:ln w="28440">
              <a:solidFill>
                <a:srgbClr val="4A7EBB"/>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Scenarios!$A$24:$A$53</c:f>
              <c:numCache>
                <c:formatCode>General</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cat>
          <c:val>
            <c:numRef>
              <c:f>Scenarios!$F$24:$F$53</c:f>
              <c:numCache>
                <c:formatCode>\$#,##0;"($"#,##0\);\-</c:formatCode>
                <c:ptCount val="30"/>
                <c:pt idx="0">
                  <c:v>-420294.83301140671</c:v>
                </c:pt>
                <c:pt idx="1">
                  <c:v>-345792.27617048635</c:v>
                </c:pt>
                <c:pt idx="2">
                  <c:v>-266186.30877345172</c:v>
                </c:pt>
                <c:pt idx="3">
                  <c:v>-181151.97890285077</c:v>
                </c:pt>
                <c:pt idx="4">
                  <c:v>-90344.24644434941</c:v>
                </c:pt>
                <c:pt idx="5">
                  <c:v>6603.244345965446</c:v>
                </c:pt>
                <c:pt idx="6">
                  <c:v>110079.4670151904</c:v>
                </c:pt>
                <c:pt idx="7">
                  <c:v>220497.39438158588</c:v>
                </c:pt>
                <c:pt idx="8">
                  <c:v>338295.46412848844</c:v>
                </c:pt>
                <c:pt idx="9">
                  <c:v>463939.13365084887</c:v>
                </c:pt>
                <c:pt idx="10">
                  <c:v>597922.52959430742</c:v>
                </c:pt>
                <c:pt idx="11">
                  <c:v>740770.19785914489</c:v>
                </c:pt>
                <c:pt idx="12">
                  <c:v>893038.96019425627</c:v>
                </c:pt>
                <c:pt idx="13">
                  <c:v>1055319.8838807368</c:v>
                </c:pt>
                <c:pt idx="14">
                  <c:v>1228240.3714020967</c:v>
                </c:pt>
                <c:pt idx="15">
                  <c:v>1412466.3774199132</c:v>
                </c:pt>
                <c:pt idx="16">
                  <c:v>1608704.7608214258</c:v>
                </c:pt>
                <c:pt idx="17">
                  <c:v>1817705.7800807548</c:v>
                </c:pt>
                <c:pt idx="18">
                  <c:v>2040265.7406797635</c:v>
                </c:pt>
                <c:pt idx="19">
                  <c:v>2277229.8038699185</c:v>
                </c:pt>
                <c:pt idx="20">
                  <c:v>2529494.9666246986</c:v>
                </c:pt>
                <c:pt idx="21">
                  <c:v>2798013.2232352304</c:v>
                </c:pt>
                <c:pt idx="22">
                  <c:v>3083794.9196419977</c:v>
                </c:pt>
                <c:pt idx="23">
                  <c:v>3387912.3122750246</c:v>
                </c:pt>
                <c:pt idx="24">
                  <c:v>3711503.3438962298</c:v>
                </c:pt>
                <c:pt idx="25">
                  <c:v>4055775.6497033341</c:v>
                </c:pt>
                <c:pt idx="26">
                  <c:v>4422345.5427693762</c:v>
                </c:pt>
                <c:pt idx="27">
                  <c:v>4812614.5608853009</c:v>
                </c:pt>
                <c:pt idx="28">
                  <c:v>5228071.3424239056</c:v>
                </c:pt>
                <c:pt idx="29">
                  <c:v>5670297.0229618847</c:v>
                </c:pt>
              </c:numCache>
            </c:numRef>
          </c:val>
          <c:smooth val="0"/>
          <c:extLst>
            <c:ext xmlns:c16="http://schemas.microsoft.com/office/drawing/2014/chart" uri="{C3380CC4-5D6E-409C-BE32-E72D297353CC}">
              <c16:uniqueId val="{00000000-EE67-45ED-82C4-D3AA9A1FB91C}"/>
            </c:ext>
          </c:extLst>
        </c:ser>
        <c:ser>
          <c:idx val="1"/>
          <c:order val="1"/>
          <c:tx>
            <c:strRef>
              <c:f>Scenarios!$H$22</c:f>
              <c:strCache>
                <c:ptCount val="1"/>
                <c:pt idx="0">
                  <c:v>2. Salary sacrifice</c:v>
                </c:pt>
              </c:strCache>
            </c:strRef>
          </c:tx>
          <c:spPr>
            <a:ln w="28440">
              <a:solidFill>
                <a:srgbClr val="BE4B48"/>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Scenarios!$A$24:$A$53</c:f>
              <c:numCache>
                <c:formatCode>General</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cat>
          <c:val>
            <c:numRef>
              <c:f>Scenarios!$K$24:$K$53</c:f>
              <c:numCache>
                <c:formatCode>\$#,##0;"($"#,##0\);\-</c:formatCode>
                <c:ptCount val="30"/>
                <c:pt idx="0">
                  <c:v>-414514.83301140671</c:v>
                </c:pt>
                <c:pt idx="1">
                  <c:v>-333235.2261704863</c:v>
                </c:pt>
                <c:pt idx="2">
                  <c:v>-245785.58924845164</c:v>
                </c:pt>
                <c:pt idx="3">
                  <c:v>-151767.5201216882</c:v>
                </c:pt>
                <c:pt idx="4">
                  <c:v>-50758.459090356133</c:v>
                </c:pt>
                <c:pt idx="5">
                  <c:v>57689.735108199529</c:v>
                </c:pt>
                <c:pt idx="6">
                  <c:v>174052.29211955448</c:v>
                </c:pt>
                <c:pt idx="7">
                  <c:v>298833.12441538554</c:v>
                </c:pt>
                <c:pt idx="8">
                  <c:v>432566.51442557701</c:v>
                </c:pt>
                <c:pt idx="9">
                  <c:v>575818.89971734304</c:v>
                </c:pt>
                <c:pt idx="10">
                  <c:v>729190.76188853092</c:v>
                </c:pt>
                <c:pt idx="11">
                  <c:v>893318.62516918115</c:v>
                </c:pt>
                <c:pt idx="12">
                  <c:v>1068877.1710711876</c:v>
                </c:pt>
                <c:pt idx="13">
                  <c:v>1256581.4757916005</c:v>
                </c:pt>
                <c:pt idx="14">
                  <c:v>1457189.3774619137</c:v>
                </c:pt>
                <c:pt idx="15">
                  <c:v>1671503.9807447977</c:v>
                </c:pt>
                <c:pt idx="16">
                  <c:v>1900376.3067124374</c:v>
                </c:pt>
                <c:pt idx="17">
                  <c:v>2144708.0963983187</c:v>
                </c:pt>
                <c:pt idx="18">
                  <c:v>2405454.7768983776</c:v>
                </c:pt>
                <c:pt idx="19">
                  <c:v>2683628.599409441</c:v>
                </c:pt>
                <c:pt idx="20">
                  <c:v>2980301.9591344194</c:v>
                </c:pt>
                <c:pt idx="21">
                  <c:v>3296610.9075565408</c:v>
                </c:pt>
                <c:pt idx="22">
                  <c:v>3633758.86819073</c:v>
                </c:pt>
                <c:pt idx="23">
                  <c:v>3993020.5675610784</c:v>
                </c:pt>
                <c:pt idx="24">
                  <c:v>4375746.1938311392</c:v>
                </c:pt>
                <c:pt idx="25">
                  <c:v>4783365.7962307129</c:v>
                </c:pt>
                <c:pt idx="26">
                  <c:v>5217728.6741829775</c:v>
                </c:pt>
                <c:pt idx="27">
                  <c:v>5680480.337968559</c:v>
                </c:pt>
                <c:pt idx="28">
                  <c:v>6173364.8082464337</c:v>
                </c:pt>
                <c:pt idx="29">
                  <c:v>6698230.445795157</c:v>
                </c:pt>
              </c:numCache>
            </c:numRef>
          </c:val>
          <c:smooth val="0"/>
          <c:extLst>
            <c:ext xmlns:c16="http://schemas.microsoft.com/office/drawing/2014/chart" uri="{C3380CC4-5D6E-409C-BE32-E72D297353CC}">
              <c16:uniqueId val="{00000001-EE67-45ED-82C4-D3AA9A1FB91C}"/>
            </c:ext>
          </c:extLst>
        </c:ser>
        <c:ser>
          <c:idx val="2"/>
          <c:order val="2"/>
          <c:tx>
            <c:strRef>
              <c:f>Scenarios!$M$22</c:f>
              <c:strCache>
                <c:ptCount val="1"/>
                <c:pt idx="0">
                  <c:v>3. Extra mortgage</c:v>
                </c:pt>
              </c:strCache>
            </c:strRef>
          </c:tx>
          <c:spPr>
            <a:ln w="28440">
              <a:solidFill>
                <a:srgbClr val="98B855"/>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Scenarios!$A$24:$A$53</c:f>
              <c:numCache>
                <c:formatCode>General</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cat>
          <c:val>
            <c:numRef>
              <c:f>Scenarios!$P$24:$P$53</c:f>
              <c:numCache>
                <c:formatCode>\$#,##0;"($"#,##0\);\-</c:formatCode>
                <c:ptCount val="30"/>
                <c:pt idx="0">
                  <c:v>-420294.83301140671</c:v>
                </c:pt>
                <c:pt idx="1">
                  <c:v>-345930.99617048638</c:v>
                </c:pt>
                <c:pt idx="2">
                  <c:v>-266619.67005345173</c:v>
                </c:pt>
                <c:pt idx="3">
                  <c:v>-182054.70499037084</c:v>
                </c:pt>
                <c:pt idx="4">
                  <c:v>-91911.596635013178</c:v>
                </c:pt>
                <c:pt idx="5">
                  <c:v>4153.5986179137835</c:v>
                </c:pt>
                <c:pt idx="6">
                  <c:v>106505.41189109598</c:v>
                </c:pt>
                <c:pt idx="7">
                  <c:v>215530.17748770642</c:v>
                </c:pt>
                <c:pt idx="8">
                  <c:v>331637.31990677171</c:v>
                </c:pt>
                <c:pt idx="9">
                  <c:v>455260.71638943098</c:v>
                </c:pt>
                <c:pt idx="10">
                  <c:v>586860.13941935555</c:v>
                </c:pt>
                <c:pt idx="11">
                  <c:v>726922.78385957843</c:v>
                </c:pt>
                <c:pt idx="12">
                  <c:v>875964.88368214376</c:v>
                </c:pt>
                <c:pt idx="13">
                  <c:v>994321.30493120733</c:v>
                </c:pt>
                <c:pt idx="14">
                  <c:v>1160623.3171117287</c:v>
                </c:pt>
                <c:pt idx="15">
                  <c:v>1337978.8213986454</c:v>
                </c:pt>
                <c:pt idx="16">
                  <c:v>1527088.8072597622</c:v>
                </c:pt>
                <c:pt idx="17">
                  <c:v>1728697.9024629588</c:v>
                </c:pt>
                <c:pt idx="18">
                  <c:v>1943597.0726067158</c:v>
                </c:pt>
                <c:pt idx="19">
                  <c:v>2172626.4875377631</c:v>
                </c:pt>
                <c:pt idx="20">
                  <c:v>2416678.5649932986</c:v>
                </c:pt>
                <c:pt idx="21">
                  <c:v>2676701.2024475443</c:v>
                </c:pt>
                <c:pt idx="22">
                  <c:v>2953701.2088248339</c:v>
                </c:pt>
                <c:pt idx="23">
                  <c:v>3248747.9484663806</c:v>
                </c:pt>
                <c:pt idx="24">
                  <c:v>3562977.2105080793</c:v>
                </c:pt>
                <c:pt idx="25">
                  <c:v>3897595.3176449537</c:v>
                </c:pt>
                <c:pt idx="26">
                  <c:v>4253883.489127201</c:v>
                </c:pt>
                <c:pt idx="27">
                  <c:v>4633202.4737563841</c:v>
                </c:pt>
                <c:pt idx="28">
                  <c:v>5036997.4696316104</c:v>
                </c:pt>
                <c:pt idx="29">
                  <c:v>5466803.3484380897</c:v>
                </c:pt>
              </c:numCache>
            </c:numRef>
          </c:val>
          <c:smooth val="0"/>
          <c:extLst>
            <c:ext xmlns:c16="http://schemas.microsoft.com/office/drawing/2014/chart" uri="{C3380CC4-5D6E-409C-BE32-E72D297353CC}">
              <c16:uniqueId val="{00000002-EE67-45ED-82C4-D3AA9A1FB91C}"/>
            </c:ext>
          </c:extLst>
        </c:ser>
        <c:ser>
          <c:idx val="3"/>
          <c:order val="3"/>
          <c:tx>
            <c:strRef>
              <c:f>Scenarios!$R$22</c:f>
              <c:strCache>
                <c:ptCount val="1"/>
                <c:pt idx="0">
                  <c:v>4. Split 50/50</c:v>
                </c:pt>
              </c:strCache>
            </c:strRef>
          </c:tx>
          <c:spPr>
            <a:ln w="28440">
              <a:solidFill>
                <a:srgbClr val="7D5FA0"/>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Scenarios!$A$24:$A$53</c:f>
              <c:numCache>
                <c:formatCode>General</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cat>
          <c:val>
            <c:numRef>
              <c:f>Scenarios!$U$24:$U$53</c:f>
              <c:numCache>
                <c:formatCode>\$#,##0;"($"#,##0\);\-</c:formatCode>
                <c:ptCount val="30"/>
                <c:pt idx="0">
                  <c:v>-417404.83301140671</c:v>
                </c:pt>
                <c:pt idx="1">
                  <c:v>-339583.11117048643</c:v>
                </c:pt>
                <c:pt idx="2">
                  <c:v>-256202.62965095177</c:v>
                </c:pt>
                <c:pt idx="3">
                  <c:v>-166911.11255602958</c:v>
                </c:pt>
                <c:pt idx="4">
                  <c:v>-71335.027862684685</c:v>
                </c:pt>
                <c:pt idx="5">
                  <c:v>30921.666863056482</c:v>
                </c:pt>
                <c:pt idx="6">
                  <c:v>140278.85200532526</c:v>
                </c:pt>
                <c:pt idx="7">
                  <c:v>257181.65095154603</c:v>
                </c:pt>
                <c:pt idx="8">
                  <c:v>382101.91716617433</c:v>
                </c:pt>
                <c:pt idx="9">
                  <c:v>515539.8080533871</c:v>
                </c:pt>
                <c:pt idx="10">
                  <c:v>658025.45065394323</c:v>
                </c:pt>
                <c:pt idx="11">
                  <c:v>810120.70451437985</c:v>
                </c:pt>
                <c:pt idx="12">
                  <c:v>972421.02737666573</c:v>
                </c:pt>
                <c:pt idx="13">
                  <c:v>1145557.4496644055</c:v>
                </c:pt>
                <c:pt idx="14">
                  <c:v>1330198.6640887</c:v>
                </c:pt>
                <c:pt idx="15">
                  <c:v>1527053.2370639455</c:v>
                </c:pt>
                <c:pt idx="16">
                  <c:v>1736871.9490123705</c:v>
                </c:pt>
                <c:pt idx="17">
                  <c:v>1919092.9610558993</c:v>
                </c:pt>
                <c:pt idx="18">
                  <c:v>2154833.5946784015</c:v>
                </c:pt>
                <c:pt idx="19">
                  <c:v>2406329.6195274577</c:v>
                </c:pt>
                <c:pt idx="20">
                  <c:v>2674568.5381923881</c:v>
                </c:pt>
                <c:pt idx="21">
                  <c:v>2960598.1425538035</c:v>
                </c:pt>
                <c:pt idx="22">
                  <c:v>3265530.1574112684</c:v>
                </c:pt>
                <c:pt idx="23">
                  <c:v>3590544.10375176</c:v>
                </c:pt>
                <c:pt idx="24">
                  <c:v>3936891.3949146392</c:v>
                </c:pt>
                <c:pt idx="25">
                  <c:v>4305899.6797112897</c:v>
                </c:pt>
                <c:pt idx="26">
                  <c:v>4698977.4474088214</c:v>
                </c:pt>
                <c:pt idx="27">
                  <c:v>5117618.9103901954</c:v>
                </c:pt>
                <c:pt idx="28">
                  <c:v>5563409.1812610477</c:v>
                </c:pt>
                <c:pt idx="29">
                  <c:v>6038029.7621895811</c:v>
                </c:pt>
              </c:numCache>
            </c:numRef>
          </c:val>
          <c:smooth val="0"/>
          <c:extLst>
            <c:ext xmlns:c16="http://schemas.microsoft.com/office/drawing/2014/chart" uri="{C3380CC4-5D6E-409C-BE32-E72D297353CC}">
              <c16:uniqueId val="{00000003-EE67-45ED-82C4-D3AA9A1FB91C}"/>
            </c:ext>
          </c:extLst>
        </c:ser>
        <c:dLbls>
          <c:showLegendKey val="0"/>
          <c:showVal val="0"/>
          <c:showCatName val="0"/>
          <c:showSerName val="0"/>
          <c:showPercent val="0"/>
          <c:showBubbleSize val="0"/>
        </c:dLbls>
        <c:hiLowLines>
          <c:spPr>
            <a:ln w="0">
              <a:noFill/>
            </a:ln>
          </c:spPr>
        </c:hiLowLines>
        <c:smooth val="0"/>
        <c:axId val="78866445"/>
        <c:axId val="49638518"/>
      </c:lineChart>
      <c:catAx>
        <c:axId val="78866445"/>
        <c:scaling>
          <c:orientation val="minMax"/>
        </c:scaling>
        <c:delete val="0"/>
        <c:axPos val="b"/>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Year</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9638518"/>
        <c:crosses val="autoZero"/>
        <c:auto val="1"/>
        <c:lblAlgn val="ctr"/>
        <c:lblOffset val="100"/>
        <c:noMultiLvlLbl val="0"/>
      </c:catAx>
      <c:valAx>
        <c:axId val="49638518"/>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Net wealth ($)</a:t>
                </a:r>
              </a:p>
            </c:rich>
          </c:tx>
          <c:overlay val="0"/>
          <c:spPr>
            <a:noFill/>
            <a:ln w="0">
              <a:noFill/>
            </a:ln>
          </c:spPr>
        </c:title>
        <c:numFmt formatCode="\$#,##0;&quot;($&quot;#,##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8866445"/>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ysClr val="windowText" lastClr="000000"/>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Retirement income at 4% drawdown vs 70% replacement target (today's $)</a:t>
            </a:r>
          </a:p>
        </c:rich>
      </c:tx>
      <c:overlay val="0"/>
      <c:spPr>
        <a:noFill/>
        <a:ln w="0">
          <a:noFill/>
        </a:ln>
      </c:spPr>
    </c:title>
    <c:autoTitleDeleted val="0"/>
    <c:plotArea>
      <c:layout/>
      <c:barChart>
        <c:barDir val="col"/>
        <c:grouping val="clustered"/>
        <c:varyColors val="0"/>
        <c:ser>
          <c:idx val="0"/>
          <c:order val="0"/>
          <c:tx>
            <c:strRef>
              <c:f>Dashboard!$B$10</c:f>
              <c:strCache>
                <c:ptCount val="1"/>
                <c:pt idx="0">
                  <c:v>Retirement income at 4% (today's $)</c:v>
                </c:pt>
              </c:strCache>
            </c:strRef>
          </c:tx>
          <c:spPr>
            <a:solidFill>
              <a:srgbClr val="4F81B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Dashboard!$C$6:$F$6</c:f>
              <c:strCache>
                <c:ptCount val="4"/>
                <c:pt idx="0">
                  <c:v>Base case</c:v>
                </c:pt>
                <c:pt idx="1">
                  <c:v>Salary sacrifice</c:v>
                </c:pt>
                <c:pt idx="2">
                  <c:v>Extra mortgage</c:v>
                </c:pt>
                <c:pt idx="3">
                  <c:v>Split 50/50</c:v>
                </c:pt>
              </c:strCache>
            </c:strRef>
          </c:cat>
          <c:val>
            <c:numRef>
              <c:f>Dashboard!$C$10:$F$10</c:f>
              <c:numCache>
                <c:formatCode>\$#,##0;"($"#,##0\);\-</c:formatCode>
                <c:ptCount val="4"/>
                <c:pt idx="0">
                  <c:v>110834.17776852105</c:v>
                </c:pt>
                <c:pt idx="1">
                  <c:v>130926.62711626185</c:v>
                </c:pt>
                <c:pt idx="2">
                  <c:v>106856.59881531858</c:v>
                </c:pt>
                <c:pt idx="3">
                  <c:v>118022.04740318403</c:v>
                </c:pt>
              </c:numCache>
            </c:numRef>
          </c:val>
          <c:extLst>
            <c:ext xmlns:c16="http://schemas.microsoft.com/office/drawing/2014/chart" uri="{C3380CC4-5D6E-409C-BE32-E72D297353CC}">
              <c16:uniqueId val="{00000000-D665-40B2-8F8E-E8B493C6D950}"/>
            </c:ext>
          </c:extLst>
        </c:ser>
        <c:ser>
          <c:idx val="1"/>
          <c:order val="1"/>
          <c:tx>
            <c:strRef>
              <c:f>Dashboard!$B$12</c:f>
              <c:strCache>
                <c:ptCount val="1"/>
                <c:pt idx="0">
                  <c:v>70% replacement target (today's $)</c:v>
                </c:pt>
              </c:strCache>
            </c:strRef>
          </c:tx>
          <c:spPr>
            <a:solidFill>
              <a:srgbClr val="C0504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Dashboard!$C$6:$F$6</c:f>
              <c:strCache>
                <c:ptCount val="4"/>
                <c:pt idx="0">
                  <c:v>Base case</c:v>
                </c:pt>
                <c:pt idx="1">
                  <c:v>Salary sacrifice</c:v>
                </c:pt>
                <c:pt idx="2">
                  <c:v>Extra mortgage</c:v>
                </c:pt>
                <c:pt idx="3">
                  <c:v>Split 50/50</c:v>
                </c:pt>
              </c:strCache>
            </c:strRef>
          </c:cat>
          <c:val>
            <c:numRef>
              <c:f>Dashboard!$C$12:$F$12</c:f>
              <c:numCache>
                <c:formatCode>\$#,##0;"($"#,##0\);\-</c:formatCode>
                <c:ptCount val="4"/>
                <c:pt idx="0">
                  <c:v>135100</c:v>
                </c:pt>
                <c:pt idx="1">
                  <c:v>135100</c:v>
                </c:pt>
                <c:pt idx="2">
                  <c:v>135100</c:v>
                </c:pt>
                <c:pt idx="3">
                  <c:v>135100</c:v>
                </c:pt>
              </c:numCache>
            </c:numRef>
          </c:val>
          <c:extLst>
            <c:ext xmlns:c16="http://schemas.microsoft.com/office/drawing/2014/chart" uri="{C3380CC4-5D6E-409C-BE32-E72D297353CC}">
              <c16:uniqueId val="{00000001-D665-40B2-8F8E-E8B493C6D950}"/>
            </c:ext>
          </c:extLst>
        </c:ser>
        <c:dLbls>
          <c:showLegendKey val="0"/>
          <c:showVal val="0"/>
          <c:showCatName val="0"/>
          <c:showSerName val="0"/>
          <c:showPercent val="0"/>
          <c:showBubbleSize val="0"/>
        </c:dLbls>
        <c:gapWidth val="150"/>
        <c:axId val="3869265"/>
        <c:axId val="16580221"/>
      </c:barChart>
      <c:catAx>
        <c:axId val="3869265"/>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6580221"/>
        <c:crosses val="autoZero"/>
        <c:auto val="1"/>
        <c:lblAlgn val="ctr"/>
        <c:lblOffset val="100"/>
        <c:noMultiLvlLbl val="0"/>
      </c:catAx>
      <c:valAx>
        <c:axId val="16580221"/>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Annual income ($)</a:t>
                </a:r>
              </a:p>
            </c:rich>
          </c:tx>
          <c:overlay val="0"/>
          <c:spPr>
            <a:noFill/>
            <a:ln w="0">
              <a:noFill/>
            </a:ln>
          </c:spPr>
        </c:title>
        <c:numFmt formatCode="\$#,##0;&quot;($&quot;#,##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869265"/>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ysClr val="windowText" lastClr="000000"/>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Fee drag: household super at current fee vs MySuper fee (today's $)</a:t>
            </a:r>
          </a:p>
        </c:rich>
      </c:tx>
      <c:overlay val="0"/>
      <c:spPr>
        <a:noFill/>
        <a:ln w="0">
          <a:noFill/>
        </a:ln>
      </c:spPr>
    </c:title>
    <c:autoTitleDeleted val="0"/>
    <c:plotArea>
      <c:layout>
        <c:manualLayout>
          <c:layoutTarget val="inner"/>
          <c:xMode val="edge"/>
          <c:yMode val="edge"/>
          <c:x val="0.18428714691195389"/>
          <c:y val="0.2825067894674696"/>
          <c:w val="0.57964298266645009"/>
          <c:h val="0.51347579059962634"/>
        </c:manualLayout>
      </c:layout>
      <c:lineChart>
        <c:grouping val="standard"/>
        <c:varyColors val="0"/>
        <c:ser>
          <c:idx val="0"/>
          <c:order val="0"/>
          <c:tx>
            <c:strRef>
              <c:f>Sensitivity!$C$40</c:f>
              <c:strCache>
                <c:ptCount val="1"/>
                <c:pt idx="0">
                  <c:v>At current fee</c:v>
                </c:pt>
              </c:strCache>
            </c:strRef>
          </c:tx>
          <c:spPr>
            <a:ln w="28440">
              <a:solidFill>
                <a:srgbClr val="4A7EBB"/>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Sensitivity!$B$41:$B$70</c:f>
              <c:numCache>
                <c:formatCode>General</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cat>
          <c:val>
            <c:numRef>
              <c:f>Sensitivity!$C$41:$C$70</c:f>
              <c:numCache>
                <c:formatCode>\$#,##0;"($"#,##0\);\-</c:formatCode>
                <c:ptCount val="30"/>
                <c:pt idx="0">
                  <c:v>184122.92682926828</c:v>
                </c:pt>
                <c:pt idx="1">
                  <c:v>209080.87947650204</c:v>
                </c:pt>
                <c:pt idx="2">
                  <c:v>234899.97672094131</c:v>
                </c:pt>
                <c:pt idx="3">
                  <c:v>261607.14224582317</c:v>
                </c:pt>
                <c:pt idx="4">
                  <c:v>289230.12938533077</c:v>
                </c:pt>
                <c:pt idx="5">
                  <c:v>317797.54663211067</c:v>
                </c:pt>
                <c:pt idx="6">
                  <c:v>347338.8839287344</c:v>
                </c:pt>
                <c:pt idx="7">
                  <c:v>377884.53976719291</c:v>
                </c:pt>
                <c:pt idx="8">
                  <c:v>409465.84912126139</c:v>
                </c:pt>
                <c:pt idx="9">
                  <c:v>442115.11223732453</c:v>
                </c:pt>
                <c:pt idx="10">
                  <c:v>475865.62431004987</c:v>
                </c:pt>
                <c:pt idx="11">
                  <c:v>510751.70607009786</c:v>
                </c:pt>
                <c:pt idx="12">
                  <c:v>546808.73531190108</c:v>
                </c:pt>
                <c:pt idx="13">
                  <c:v>584073.17939039937</c:v>
                </c:pt>
                <c:pt idx="14">
                  <c:v>622582.62871651235</c:v>
                </c:pt>
                <c:pt idx="15">
                  <c:v>662375.83128203941</c:v>
                </c:pt>
                <c:pt idx="16">
                  <c:v>703492.72824562446</c:v>
                </c:pt>
                <c:pt idx="17">
                  <c:v>745974.49061239662</c:v>
                </c:pt>
                <c:pt idx="18">
                  <c:v>789863.55704089219</c:v>
                </c:pt>
                <c:pt idx="19">
                  <c:v>835203.67281190713</c:v>
                </c:pt>
                <c:pt idx="20">
                  <c:v>882039.92999498593</c:v>
                </c:pt>
                <c:pt idx="21">
                  <c:v>930418.8088493495</c:v>
                </c:pt>
                <c:pt idx="22">
                  <c:v>980388.22049720737</c:v>
                </c:pt>
                <c:pt idx="23">
                  <c:v>1031997.5509085456</c:v>
                </c:pt>
                <c:pt idx="24">
                  <c:v>1085297.7062377052</c:v>
                </c:pt>
                <c:pt idx="25">
                  <c:v>1140341.1595532862</c:v>
                </c:pt>
                <c:pt idx="26">
                  <c:v>1197181.9990042027</c:v>
                </c:pt>
                <c:pt idx="27">
                  <c:v>1255875.9774660196</c:v>
                </c:pt>
                <c:pt idx="28">
                  <c:v>1316480.5637130693</c:v>
                </c:pt>
                <c:pt idx="29">
                  <c:v>1379054.9951632279</c:v>
                </c:pt>
              </c:numCache>
            </c:numRef>
          </c:val>
          <c:smooth val="0"/>
          <c:extLst>
            <c:ext xmlns:c16="http://schemas.microsoft.com/office/drawing/2014/chart" uri="{C3380CC4-5D6E-409C-BE32-E72D297353CC}">
              <c16:uniqueId val="{00000000-2044-41AE-B182-C5A54DD6DE29}"/>
            </c:ext>
          </c:extLst>
        </c:ser>
        <c:ser>
          <c:idx val="1"/>
          <c:order val="1"/>
          <c:tx>
            <c:strRef>
              <c:f>Sensitivity!$D$40</c:f>
              <c:strCache>
                <c:ptCount val="1"/>
                <c:pt idx="0">
                  <c:v>At MySuper fee</c:v>
                </c:pt>
              </c:strCache>
            </c:strRef>
          </c:tx>
          <c:spPr>
            <a:ln w="28440">
              <a:solidFill>
                <a:srgbClr val="BE4B48"/>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Sensitivity!$B$41:$B$70</c:f>
              <c:numCache>
                <c:formatCode>General</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cat>
          <c:val>
            <c:numRef>
              <c:f>Sensitivity!$D$41:$D$70</c:f>
              <c:numCache>
                <c:formatCode>\$#,##0;"($"#,##0\);\-</c:formatCode>
                <c:ptCount val="30"/>
                <c:pt idx="0">
                  <c:v>185215.60975609746</c:v>
                </c:pt>
                <c:pt idx="1">
                  <c:v>211472.02950624621</c:v>
                </c:pt>
                <c:pt idx="2">
                  <c:v>238808.81009944697</c:v>
                </c:pt>
                <c:pt idx="3">
                  <c:v>267266.99018249387</c:v>
                </c:pt>
                <c:pt idx="4">
                  <c:v>296889.15209398448</c:v>
                </c:pt>
                <c:pt idx="5">
                  <c:v>327719.47985781851</c:v>
                </c:pt>
                <c:pt idx="6">
                  <c:v>359803.81935504155</c:v>
                </c:pt>
                <c:pt idx="7">
                  <c:v>393189.74075585534</c:v>
                </c:pt>
                <c:pt idx="8">
                  <c:v>427926.60329668847</c:v>
                </c:pt>
                <c:pt idx="9">
                  <c:v>464065.62249041279</c:v>
                </c:pt>
                <c:pt idx="10">
                  <c:v>501659.93986109423</c:v>
                </c:pt>
                <c:pt idx="11">
                  <c:v>540764.69529810385</c:v>
                </c:pt>
                <c:pt idx="12">
                  <c:v>581437.10212797427</c:v>
                </c:pt>
                <c:pt idx="13">
                  <c:v>623736.52500608435</c:v>
                </c:pt>
                <c:pt idx="14">
                  <c:v>667724.56073408667</c:v>
                </c:pt>
                <c:pt idx="15">
                  <c:v>713465.12211297196</c:v>
                </c:pt>
                <c:pt idx="16">
                  <c:v>761024.52494579135</c:v>
                </c:pt>
                <c:pt idx="17">
                  <c:v>810471.57830834494</c:v>
                </c:pt>
                <c:pt idx="18">
                  <c:v>861877.67821057758</c:v>
                </c:pt>
                <c:pt idx="19">
                  <c:v>915316.90477605024</c:v>
                </c:pt>
                <c:pt idx="20">
                  <c:v>970866.12307161966</c:v>
                </c:pt>
                <c:pt idx="21">
                  <c:v>1028605.0877244372</c:v>
                </c:pt>
                <c:pt idx="22">
                  <c:v>1088616.5514685251</c:v>
                </c:pt>
                <c:pt idx="23">
                  <c:v>1150986.3777685231</c:v>
                </c:pt>
                <c:pt idx="24">
                  <c:v>1215803.6576737501</c:v>
                </c:pt>
                <c:pt idx="25">
                  <c:v>1283160.8310614787</c:v>
                </c:pt>
                <c:pt idx="26">
                  <c:v>1353153.8124342866</c:v>
                </c:pt>
                <c:pt idx="27">
                  <c:v>1425882.1214425308</c:v>
                </c:pt>
                <c:pt idx="28">
                  <c:v>1501449.0183094412</c:v>
                </c:pt>
                <c:pt idx="29">
                  <c:v>1579961.6443429675</c:v>
                </c:pt>
              </c:numCache>
            </c:numRef>
          </c:val>
          <c:smooth val="0"/>
          <c:extLst>
            <c:ext xmlns:c16="http://schemas.microsoft.com/office/drawing/2014/chart" uri="{C3380CC4-5D6E-409C-BE32-E72D297353CC}">
              <c16:uniqueId val="{00000001-2044-41AE-B182-C5A54DD6DE29}"/>
            </c:ext>
          </c:extLst>
        </c:ser>
        <c:dLbls>
          <c:showLegendKey val="0"/>
          <c:showVal val="0"/>
          <c:showCatName val="0"/>
          <c:showSerName val="0"/>
          <c:showPercent val="0"/>
          <c:showBubbleSize val="0"/>
        </c:dLbls>
        <c:hiLowLines>
          <c:spPr>
            <a:ln w="0">
              <a:noFill/>
            </a:ln>
          </c:spPr>
        </c:hiLowLines>
        <c:smooth val="0"/>
        <c:axId val="38498641"/>
        <c:axId val="43740302"/>
      </c:lineChart>
      <c:catAx>
        <c:axId val="38498641"/>
        <c:scaling>
          <c:orientation val="minMax"/>
        </c:scaling>
        <c:delete val="0"/>
        <c:axPos val="b"/>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Year</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3740302"/>
        <c:crosses val="autoZero"/>
        <c:auto val="1"/>
        <c:lblAlgn val="ctr"/>
        <c:lblOffset val="100"/>
        <c:noMultiLvlLbl val="0"/>
      </c:catAx>
      <c:valAx>
        <c:axId val="43740302"/>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Balance ($)</a:t>
                </a:r>
              </a:p>
            </c:rich>
          </c:tx>
          <c:overlay val="0"/>
          <c:spPr>
            <a:noFill/>
            <a:ln w="0">
              <a:noFill/>
            </a:ln>
          </c:spPr>
        </c:title>
        <c:numFmt formatCode="\$#,##0;&quot;($&quot;#,##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8498641"/>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ysClr val="windowText" lastClr="000000"/>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Monte Carlo: household super, 10th / 50th / 90th percentile (nominal $)</a:t>
            </a:r>
          </a:p>
        </c:rich>
      </c:tx>
      <c:overlay val="0"/>
      <c:spPr>
        <a:noFill/>
        <a:ln w="0">
          <a:noFill/>
        </a:ln>
      </c:spPr>
    </c:title>
    <c:autoTitleDeleted val="0"/>
    <c:plotArea>
      <c:layout/>
      <c:lineChart>
        <c:grouping val="standard"/>
        <c:varyColors val="0"/>
        <c:ser>
          <c:idx val="0"/>
          <c:order val="0"/>
          <c:tx>
            <c:strRef>
              <c:f>MonteCarlo!$C$219</c:f>
              <c:strCache>
                <c:ptCount val="1"/>
                <c:pt idx="0">
                  <c:v>10th percentile</c:v>
                </c:pt>
              </c:strCache>
            </c:strRef>
          </c:tx>
          <c:spPr>
            <a:ln w="28440">
              <a:solidFill>
                <a:srgbClr val="4A7EBB"/>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MonteCarlo!$D$16:$AG$16</c:f>
              <c:numCache>
                <c:formatCode>General</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cat>
          <c:val>
            <c:numRef>
              <c:f>MonteCarlo!$D$219:$AG$219</c:f>
              <c:numCache>
                <c:formatCode>\$#,##0;"($"#,##0\);\-</c:formatCode>
                <c:ptCount val="30"/>
                <c:pt idx="0">
                  <c:v>166799.80395365163</c:v>
                </c:pt>
                <c:pt idx="1">
                  <c:v>180958.56758635305</c:v>
                </c:pt>
                <c:pt idx="2">
                  <c:v>199220.43356238658</c:v>
                </c:pt>
                <c:pt idx="3">
                  <c:v>225702.55424579591</c:v>
                </c:pt>
                <c:pt idx="4">
                  <c:v>248619.52942972665</c:v>
                </c:pt>
                <c:pt idx="5">
                  <c:v>269865.84168899385</c:v>
                </c:pt>
                <c:pt idx="6">
                  <c:v>294331.54680490028</c:v>
                </c:pt>
                <c:pt idx="7">
                  <c:v>322178.76534862933</c:v>
                </c:pt>
                <c:pt idx="8">
                  <c:v>355937.16107084492</c:v>
                </c:pt>
                <c:pt idx="9">
                  <c:v>398958.52850114135</c:v>
                </c:pt>
                <c:pt idx="10">
                  <c:v>431049.71815639618</c:v>
                </c:pt>
                <c:pt idx="11">
                  <c:v>463666.35053582885</c:v>
                </c:pt>
                <c:pt idx="12">
                  <c:v>496979.51916958473</c:v>
                </c:pt>
                <c:pt idx="13">
                  <c:v>553555.26489572728</c:v>
                </c:pt>
                <c:pt idx="14">
                  <c:v>578939.6301061681</c:v>
                </c:pt>
                <c:pt idx="15">
                  <c:v>607266.61664696771</c:v>
                </c:pt>
                <c:pt idx="16">
                  <c:v>667957.3782197542</c:v>
                </c:pt>
                <c:pt idx="17">
                  <c:v>722120.15616020805</c:v>
                </c:pt>
                <c:pt idx="18">
                  <c:v>744969.25762820512</c:v>
                </c:pt>
                <c:pt idx="19">
                  <c:v>804665.20626598131</c:v>
                </c:pt>
                <c:pt idx="20">
                  <c:v>875481.23767470708</c:v>
                </c:pt>
                <c:pt idx="21">
                  <c:v>927989.58643443242</c:v>
                </c:pt>
                <c:pt idx="22">
                  <c:v>975397.9058414246</c:v>
                </c:pt>
                <c:pt idx="23">
                  <c:v>1058358.7384593836</c:v>
                </c:pt>
                <c:pt idx="24">
                  <c:v>1130818.3256365403</c:v>
                </c:pt>
                <c:pt idx="25">
                  <c:v>1212449.3202595687</c:v>
                </c:pt>
                <c:pt idx="26">
                  <c:v>1301324.4353169703</c:v>
                </c:pt>
                <c:pt idx="27">
                  <c:v>1373467.119650109</c:v>
                </c:pt>
                <c:pt idx="28">
                  <c:v>1452949.8972088515</c:v>
                </c:pt>
                <c:pt idx="29">
                  <c:v>1530736.8071404689</c:v>
                </c:pt>
              </c:numCache>
            </c:numRef>
          </c:val>
          <c:smooth val="0"/>
          <c:extLst>
            <c:ext xmlns:c16="http://schemas.microsoft.com/office/drawing/2014/chart" uri="{C3380CC4-5D6E-409C-BE32-E72D297353CC}">
              <c16:uniqueId val="{00000000-F556-48CE-9C89-368E14B4EBB6}"/>
            </c:ext>
          </c:extLst>
        </c:ser>
        <c:ser>
          <c:idx val="1"/>
          <c:order val="1"/>
          <c:tx>
            <c:strRef>
              <c:f>MonteCarlo!$C$220</c:f>
              <c:strCache>
                <c:ptCount val="1"/>
                <c:pt idx="0">
                  <c:v>Median</c:v>
                </c:pt>
              </c:strCache>
            </c:strRef>
          </c:tx>
          <c:spPr>
            <a:ln w="28440">
              <a:solidFill>
                <a:srgbClr val="BE4B48"/>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MonteCarlo!$D$16:$AG$16</c:f>
              <c:numCache>
                <c:formatCode>General</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cat>
          <c:val>
            <c:numRef>
              <c:f>MonteCarlo!$D$220:$AG$220</c:f>
              <c:numCache>
                <c:formatCode>\$#,##0;"($"#,##0\);\-</c:formatCode>
                <c:ptCount val="30"/>
                <c:pt idx="0">
                  <c:v>187846.78238523717</c:v>
                </c:pt>
                <c:pt idx="1">
                  <c:v>214187.69664647774</c:v>
                </c:pt>
                <c:pt idx="2">
                  <c:v>249587.90056590235</c:v>
                </c:pt>
                <c:pt idx="3">
                  <c:v>281718.49250749068</c:v>
                </c:pt>
                <c:pt idx="4">
                  <c:v>313517.12143275357</c:v>
                </c:pt>
                <c:pt idx="5">
                  <c:v>345125.68101023743</c:v>
                </c:pt>
                <c:pt idx="6">
                  <c:v>388961.03756985726</c:v>
                </c:pt>
                <c:pt idx="7">
                  <c:v>436749.12895267783</c:v>
                </c:pt>
                <c:pt idx="8">
                  <c:v>485560.96369823278</c:v>
                </c:pt>
                <c:pt idx="9">
                  <c:v>544755.34241632186</c:v>
                </c:pt>
                <c:pt idx="10">
                  <c:v>580800.41730310535</c:v>
                </c:pt>
                <c:pt idx="11">
                  <c:v>641904.93141605926</c:v>
                </c:pt>
                <c:pt idx="12">
                  <c:v>714754.64205218491</c:v>
                </c:pt>
                <c:pt idx="13">
                  <c:v>762078.37618757621</c:v>
                </c:pt>
                <c:pt idx="14">
                  <c:v>815417.55950996093</c:v>
                </c:pt>
                <c:pt idx="15">
                  <c:v>893590.40714907018</c:v>
                </c:pt>
                <c:pt idx="16">
                  <c:v>966588.4064668162</c:v>
                </c:pt>
                <c:pt idx="17">
                  <c:v>1058516.0320626807</c:v>
                </c:pt>
                <c:pt idx="18">
                  <c:v>1137538.082143144</c:v>
                </c:pt>
                <c:pt idx="19">
                  <c:v>1252589.8143296205</c:v>
                </c:pt>
                <c:pt idx="20">
                  <c:v>1334705.6287257352</c:v>
                </c:pt>
                <c:pt idx="21">
                  <c:v>1452030.0500020585</c:v>
                </c:pt>
                <c:pt idx="22">
                  <c:v>1586523.4672143538</c:v>
                </c:pt>
                <c:pt idx="23">
                  <c:v>1656515.0871835877</c:v>
                </c:pt>
                <c:pt idx="24">
                  <c:v>1751115.6168414697</c:v>
                </c:pt>
                <c:pt idx="25">
                  <c:v>1902403.1258049877</c:v>
                </c:pt>
                <c:pt idx="26">
                  <c:v>2034701.2933875392</c:v>
                </c:pt>
                <c:pt idx="27">
                  <c:v>2138833.6659599259</c:v>
                </c:pt>
                <c:pt idx="28">
                  <c:v>2278316.8130263491</c:v>
                </c:pt>
                <c:pt idx="29">
                  <c:v>2475363.8518358902</c:v>
                </c:pt>
              </c:numCache>
            </c:numRef>
          </c:val>
          <c:smooth val="0"/>
          <c:extLst>
            <c:ext xmlns:c16="http://schemas.microsoft.com/office/drawing/2014/chart" uri="{C3380CC4-5D6E-409C-BE32-E72D297353CC}">
              <c16:uniqueId val="{00000001-F556-48CE-9C89-368E14B4EBB6}"/>
            </c:ext>
          </c:extLst>
        </c:ser>
        <c:ser>
          <c:idx val="2"/>
          <c:order val="2"/>
          <c:tx>
            <c:strRef>
              <c:f>MonteCarlo!$C$221</c:f>
              <c:strCache>
                <c:ptCount val="1"/>
                <c:pt idx="0">
                  <c:v>90th percentile</c:v>
                </c:pt>
              </c:strCache>
            </c:strRef>
          </c:tx>
          <c:spPr>
            <a:ln w="28440">
              <a:solidFill>
                <a:srgbClr val="98B855"/>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MonteCarlo!$D$16:$AG$16</c:f>
              <c:numCache>
                <c:formatCode>General</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cat>
          <c:val>
            <c:numRef>
              <c:f>MonteCarlo!$D$221:$AG$221</c:f>
              <c:numCache>
                <c:formatCode>\$#,##0;"($"#,##0\);\-</c:formatCode>
                <c:ptCount val="30"/>
                <c:pt idx="0">
                  <c:v>211029.17872628631</c:v>
                </c:pt>
                <c:pt idx="1">
                  <c:v>253415.52458438431</c:v>
                </c:pt>
                <c:pt idx="2">
                  <c:v>296720.99195248075</c:v>
                </c:pt>
                <c:pt idx="3">
                  <c:v>351021.33658769529</c:v>
                </c:pt>
                <c:pt idx="4">
                  <c:v>391147.7140863809</c:v>
                </c:pt>
                <c:pt idx="5">
                  <c:v>448409.00162805023</c:v>
                </c:pt>
                <c:pt idx="6">
                  <c:v>512180.31844643527</c:v>
                </c:pt>
                <c:pt idx="7">
                  <c:v>571329.42893663375</c:v>
                </c:pt>
                <c:pt idx="8">
                  <c:v>663132.06749855145</c:v>
                </c:pt>
                <c:pt idx="9">
                  <c:v>731493.97363571927</c:v>
                </c:pt>
                <c:pt idx="10">
                  <c:v>810673.39987054153</c:v>
                </c:pt>
                <c:pt idx="11">
                  <c:v>914778.44344451581</c:v>
                </c:pt>
                <c:pt idx="12">
                  <c:v>1030015.0228217064</c:v>
                </c:pt>
                <c:pt idx="13">
                  <c:v>1135048.3603420283</c:v>
                </c:pt>
                <c:pt idx="14">
                  <c:v>1234093.2976523354</c:v>
                </c:pt>
                <c:pt idx="15">
                  <c:v>1329352.9710035287</c:v>
                </c:pt>
                <c:pt idx="16">
                  <c:v>1474241.9007691033</c:v>
                </c:pt>
                <c:pt idx="17">
                  <c:v>1676108.239756627</c:v>
                </c:pt>
                <c:pt idx="18">
                  <c:v>1811035.6850505364</c:v>
                </c:pt>
                <c:pt idx="19">
                  <c:v>1970621.3988494514</c:v>
                </c:pt>
                <c:pt idx="20">
                  <c:v>2102221.2962673488</c:v>
                </c:pt>
                <c:pt idx="21">
                  <c:v>2370043.7498726067</c:v>
                </c:pt>
                <c:pt idx="22">
                  <c:v>2534775.4708741582</c:v>
                </c:pt>
                <c:pt idx="23">
                  <c:v>2781516.5773722329</c:v>
                </c:pt>
                <c:pt idx="24">
                  <c:v>2857168.6091380292</c:v>
                </c:pt>
                <c:pt idx="25">
                  <c:v>3011871.4642977859</c:v>
                </c:pt>
                <c:pt idx="26">
                  <c:v>3417500.7712713997</c:v>
                </c:pt>
                <c:pt idx="27">
                  <c:v>3506482.8197415527</c:v>
                </c:pt>
                <c:pt idx="28">
                  <c:v>3736080.0141685181</c:v>
                </c:pt>
                <c:pt idx="29">
                  <c:v>4070250.1844811556</c:v>
                </c:pt>
              </c:numCache>
            </c:numRef>
          </c:val>
          <c:smooth val="0"/>
          <c:extLst>
            <c:ext xmlns:c16="http://schemas.microsoft.com/office/drawing/2014/chart" uri="{C3380CC4-5D6E-409C-BE32-E72D297353CC}">
              <c16:uniqueId val="{00000002-F556-48CE-9C89-368E14B4EBB6}"/>
            </c:ext>
          </c:extLst>
        </c:ser>
        <c:dLbls>
          <c:showLegendKey val="0"/>
          <c:showVal val="0"/>
          <c:showCatName val="0"/>
          <c:showSerName val="0"/>
          <c:showPercent val="0"/>
          <c:showBubbleSize val="0"/>
        </c:dLbls>
        <c:hiLowLines>
          <c:spPr>
            <a:ln w="0">
              <a:noFill/>
            </a:ln>
          </c:spPr>
        </c:hiLowLines>
        <c:smooth val="0"/>
        <c:axId val="51425646"/>
        <c:axId val="26609636"/>
      </c:lineChart>
      <c:catAx>
        <c:axId val="51425646"/>
        <c:scaling>
          <c:orientation val="minMax"/>
        </c:scaling>
        <c:delete val="0"/>
        <c:axPos val="b"/>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Year</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6609636"/>
        <c:crosses val="autoZero"/>
        <c:auto val="1"/>
        <c:lblAlgn val="ctr"/>
        <c:lblOffset val="100"/>
        <c:noMultiLvlLbl val="0"/>
      </c:catAx>
      <c:valAx>
        <c:axId val="26609636"/>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Balance ($)</a:t>
                </a:r>
              </a:p>
            </c:rich>
          </c:tx>
          <c:overlay val="0"/>
          <c:spPr>
            <a:noFill/>
            <a:ln w="0">
              <a:noFill/>
            </a:ln>
          </c:spPr>
        </c:title>
        <c:numFmt formatCode="\$#,##0;&quot;($&quot;#,##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1425646"/>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ysClr val="windowText" lastClr="000000"/>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14</xdr:row>
      <xdr:rowOff>160560</xdr:rowOff>
    </xdr:from>
    <xdr:to>
      <xdr:col>5</xdr:col>
      <xdr:colOff>551160</xdr:colOff>
      <xdr:row>29</xdr:row>
      <xdr:rowOff>182880</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0</xdr:colOff>
      <xdr:row>14</xdr:row>
      <xdr:rowOff>160560</xdr:rowOff>
    </xdr:from>
    <xdr:to>
      <xdr:col>18</xdr:col>
      <xdr:colOff>4680</xdr:colOff>
      <xdr:row>29</xdr:row>
      <xdr:rowOff>182880</xdr:rowOff>
    </xdr:to>
    <xdr:graphicFrame macro="">
      <xdr:nvGraphicFramePr>
        <xdr:cNvPr id="3" name="Chart 2">
          <a:extLst>
            <a:ext uri="{FF2B5EF4-FFF2-40B4-BE49-F238E27FC236}">
              <a16:creationId xmlns:a16="http://schemas.microsoft.com/office/drawing/2014/main" id="{00000000-0008-0000-07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171450</xdr:colOff>
      <xdr:row>31</xdr:row>
      <xdr:rowOff>170445</xdr:rowOff>
    </xdr:from>
    <xdr:to>
      <xdr:col>5</xdr:col>
      <xdr:colOff>522585</xdr:colOff>
      <xdr:row>47</xdr:row>
      <xdr:rowOff>1905</xdr:rowOff>
    </xdr:to>
    <xdr:graphicFrame macro="">
      <xdr:nvGraphicFramePr>
        <xdr:cNvPr id="4" name="Chart 3">
          <a:extLst>
            <a:ext uri="{FF2B5EF4-FFF2-40B4-BE49-F238E27FC236}">
              <a16:creationId xmlns:a16="http://schemas.microsoft.com/office/drawing/2014/main" id="{00000000-0008-0000-07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0</xdr:colOff>
      <xdr:row>31</xdr:row>
      <xdr:rowOff>160920</xdr:rowOff>
    </xdr:from>
    <xdr:to>
      <xdr:col>18</xdr:col>
      <xdr:colOff>4680</xdr:colOff>
      <xdr:row>46</xdr:row>
      <xdr:rowOff>182880</xdr:rowOff>
    </xdr:to>
    <xdr:graphicFrame macro="">
      <xdr:nvGraphicFramePr>
        <xdr:cNvPr id="5" name="Chart 4">
          <a:extLst>
            <a:ext uri="{FF2B5EF4-FFF2-40B4-BE49-F238E27FC236}">
              <a16:creationId xmlns:a16="http://schemas.microsoft.com/office/drawing/2014/main" id="{00000000-0008-0000-07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45"/>
  <sheetViews>
    <sheetView showGridLines="0" zoomScaleNormal="100" workbookViewId="0">
      <selection activeCell="E7" sqref="E7"/>
    </sheetView>
  </sheetViews>
  <sheetFormatPr defaultColWidth="8.7109375" defaultRowHeight="15" x14ac:dyDescent="0.25"/>
  <cols>
    <col min="1" max="1" width="2" customWidth="1"/>
    <col min="2" max="2" width="26" customWidth="1"/>
    <col min="3" max="3" width="78" customWidth="1"/>
  </cols>
  <sheetData>
    <row r="2" spans="2:3" ht="18" x14ac:dyDescent="0.25">
      <c r="B2" s="28" t="s">
        <v>0</v>
      </c>
      <c r="C2" s="28"/>
    </row>
    <row r="3" spans="2:3" x14ac:dyDescent="0.25">
      <c r="B3" s="29" t="s">
        <v>1</v>
      </c>
      <c r="C3" s="29"/>
    </row>
    <row r="6" spans="2:3" x14ac:dyDescent="0.25">
      <c r="B6" s="24" t="s">
        <v>2</v>
      </c>
      <c r="C6" s="21"/>
    </row>
    <row r="7" spans="2:3" ht="13.5" customHeight="1" x14ac:dyDescent="0.25">
      <c r="B7" s="25" t="s">
        <v>3</v>
      </c>
      <c r="C7" s="22" t="s">
        <v>4</v>
      </c>
    </row>
    <row r="8" spans="2:3" ht="13.5" customHeight="1" x14ac:dyDescent="0.25">
      <c r="B8" s="25" t="s">
        <v>5</v>
      </c>
      <c r="C8" s="22" t="s">
        <v>6</v>
      </c>
    </row>
    <row r="9" spans="2:3" ht="13.5" customHeight="1" x14ac:dyDescent="0.25">
      <c r="B9" s="25" t="s">
        <v>7</v>
      </c>
      <c r="C9" s="22" t="s">
        <v>8</v>
      </c>
    </row>
    <row r="10" spans="2:3" ht="13.5" customHeight="1" x14ac:dyDescent="0.25">
      <c r="B10" s="25" t="s">
        <v>9</v>
      </c>
      <c r="C10" s="22" t="s">
        <v>10</v>
      </c>
    </row>
    <row r="11" spans="2:3" x14ac:dyDescent="0.25">
      <c r="B11" s="26"/>
    </row>
    <row r="12" spans="2:3" x14ac:dyDescent="0.25">
      <c r="B12" s="24" t="s">
        <v>11</v>
      </c>
      <c r="C12" s="21"/>
    </row>
    <row r="13" spans="2:3" ht="27.75" customHeight="1" x14ac:dyDescent="0.25">
      <c r="B13" s="25" t="s">
        <v>12</v>
      </c>
      <c r="C13" s="22" t="s">
        <v>13</v>
      </c>
    </row>
    <row r="14" spans="2:3" ht="13.5" customHeight="1" x14ac:dyDescent="0.25">
      <c r="B14" s="25" t="s">
        <v>14</v>
      </c>
      <c r="C14" s="22" t="s">
        <v>15</v>
      </c>
    </row>
    <row r="15" spans="2:3" ht="13.5" customHeight="1" x14ac:dyDescent="0.25">
      <c r="B15" s="25" t="s">
        <v>16</v>
      </c>
      <c r="C15" s="22" t="s">
        <v>17</v>
      </c>
    </row>
    <row r="16" spans="2:3" ht="27.75" customHeight="1" x14ac:dyDescent="0.25">
      <c r="B16" s="25" t="s">
        <v>18</v>
      </c>
      <c r="C16" s="22" t="s">
        <v>19</v>
      </c>
    </row>
    <row r="17" spans="2:3" x14ac:dyDescent="0.25">
      <c r="B17" s="26"/>
    </row>
    <row r="18" spans="2:3" x14ac:dyDescent="0.25">
      <c r="B18" s="24" t="s">
        <v>20</v>
      </c>
      <c r="C18" s="21"/>
    </row>
    <row r="19" spans="2:3" ht="13.5" customHeight="1" x14ac:dyDescent="0.25">
      <c r="B19" s="25" t="s">
        <v>21</v>
      </c>
      <c r="C19" s="22" t="s">
        <v>22</v>
      </c>
    </row>
    <row r="20" spans="2:3" ht="13.5" customHeight="1" x14ac:dyDescent="0.25">
      <c r="B20" s="25" t="s">
        <v>23</v>
      </c>
      <c r="C20" s="22" t="s">
        <v>24</v>
      </c>
    </row>
    <row r="21" spans="2:3" ht="27.75" customHeight="1" x14ac:dyDescent="0.25">
      <c r="B21" s="25" t="s">
        <v>25</v>
      </c>
      <c r="C21" s="22" t="s">
        <v>26</v>
      </c>
    </row>
    <row r="22" spans="2:3" x14ac:dyDescent="0.25">
      <c r="B22" s="26"/>
    </row>
    <row r="23" spans="2:3" x14ac:dyDescent="0.25">
      <c r="B23" s="24" t="s">
        <v>27</v>
      </c>
      <c r="C23" s="21"/>
    </row>
    <row r="24" spans="2:3" ht="27.75" customHeight="1" x14ac:dyDescent="0.25">
      <c r="B24" s="25" t="s">
        <v>28</v>
      </c>
      <c r="C24" s="22" t="s">
        <v>29</v>
      </c>
    </row>
    <row r="25" spans="2:3" ht="27.75" customHeight="1" x14ac:dyDescent="0.25">
      <c r="B25" s="25" t="s">
        <v>30</v>
      </c>
      <c r="C25" s="22" t="s">
        <v>31</v>
      </c>
    </row>
    <row r="26" spans="2:3" ht="27.75" customHeight="1" x14ac:dyDescent="0.25">
      <c r="B26" s="25" t="s">
        <v>32</v>
      </c>
      <c r="C26" s="22" t="s">
        <v>33</v>
      </c>
    </row>
    <row r="27" spans="2:3" x14ac:dyDescent="0.25">
      <c r="B27" s="26"/>
    </row>
    <row r="28" spans="2:3" x14ac:dyDescent="0.25">
      <c r="B28" s="24" t="s">
        <v>34</v>
      </c>
      <c r="C28" s="21"/>
    </row>
    <row r="29" spans="2:3" ht="13.5" customHeight="1" x14ac:dyDescent="0.25">
      <c r="B29" s="25" t="s">
        <v>35</v>
      </c>
      <c r="C29" s="22" t="s">
        <v>36</v>
      </c>
    </row>
    <row r="30" spans="2:3" ht="27.75" customHeight="1" x14ac:dyDescent="0.25">
      <c r="B30" s="25" t="s">
        <v>37</v>
      </c>
      <c r="C30" s="22" t="s">
        <v>38</v>
      </c>
    </row>
    <row r="31" spans="2:3" ht="13.5" customHeight="1" x14ac:dyDescent="0.25">
      <c r="B31" s="25" t="s">
        <v>39</v>
      </c>
      <c r="C31" s="22" t="s">
        <v>40</v>
      </c>
    </row>
    <row r="32" spans="2:3" ht="27.75" customHeight="1" x14ac:dyDescent="0.25">
      <c r="B32" s="25" t="s">
        <v>41</v>
      </c>
      <c r="C32" s="22" t="s">
        <v>42</v>
      </c>
    </row>
    <row r="33" spans="2:3" ht="13.5" customHeight="1" x14ac:dyDescent="0.25">
      <c r="B33" s="25" t="s">
        <v>43</v>
      </c>
      <c r="C33" s="22" t="s">
        <v>44</v>
      </c>
    </row>
    <row r="34" spans="2:3" x14ac:dyDescent="0.25">
      <c r="B34" s="27"/>
      <c r="C34" s="23"/>
    </row>
    <row r="35" spans="2:3" x14ac:dyDescent="0.25">
      <c r="C35" s="23"/>
    </row>
    <row r="36" spans="2:3" ht="51" x14ac:dyDescent="0.25">
      <c r="B36" s="24" t="s">
        <v>45</v>
      </c>
      <c r="C36" s="22" t="s">
        <v>46</v>
      </c>
    </row>
    <row r="38" spans="2:3" x14ac:dyDescent="0.25">
      <c r="B38" s="3"/>
    </row>
    <row r="39" spans="2:3" x14ac:dyDescent="0.25">
      <c r="B39" s="4"/>
      <c r="C39" s="5"/>
    </row>
    <row r="40" spans="2:3" x14ac:dyDescent="0.25">
      <c r="B40" s="4"/>
      <c r="C40" s="5"/>
    </row>
    <row r="41" spans="2:3" x14ac:dyDescent="0.25">
      <c r="B41" s="4"/>
      <c r="C41" s="5"/>
    </row>
    <row r="42" spans="2:3" x14ac:dyDescent="0.25">
      <c r="B42" s="4"/>
      <c r="C42" s="5"/>
    </row>
    <row r="43" spans="2:3" x14ac:dyDescent="0.25">
      <c r="B43" s="4"/>
      <c r="C43" s="5"/>
    </row>
    <row r="44" spans="2:3" x14ac:dyDescent="0.25">
      <c r="B44" s="4"/>
      <c r="C44" s="5"/>
    </row>
    <row r="45" spans="2:3" x14ac:dyDescent="0.25">
      <c r="B45" s="4"/>
      <c r="C45" s="5"/>
    </row>
  </sheetData>
  <mergeCells count="2">
    <mergeCell ref="B2:C2"/>
    <mergeCell ref="B3:C3"/>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54"/>
  <sheetViews>
    <sheetView showGridLines="0" zoomScaleNormal="100" workbookViewId="0">
      <selection activeCell="D7" sqref="D7"/>
    </sheetView>
  </sheetViews>
  <sheetFormatPr defaultColWidth="8.7109375" defaultRowHeight="15" x14ac:dyDescent="0.25"/>
  <cols>
    <col min="1" max="1" width="2" customWidth="1"/>
    <col min="2" max="2" width="34.85546875" customWidth="1"/>
    <col min="3" max="3" width="37.42578125" bestFit="1" customWidth="1"/>
    <col min="4" max="5" width="18" customWidth="1"/>
    <col min="6" max="6" width="46" customWidth="1"/>
  </cols>
  <sheetData>
    <row r="2" spans="2:6" ht="18" x14ac:dyDescent="0.25">
      <c r="B2" s="50" t="s">
        <v>292</v>
      </c>
      <c r="C2" s="51"/>
    </row>
    <row r="3" spans="2:6" x14ac:dyDescent="0.25">
      <c r="B3" s="52" t="s">
        <v>47</v>
      </c>
      <c r="C3" s="51"/>
    </row>
    <row r="5" spans="2:6" x14ac:dyDescent="0.25">
      <c r="B5" s="3" t="s">
        <v>48</v>
      </c>
    </row>
    <row r="6" spans="2:6" x14ac:dyDescent="0.25">
      <c r="B6" s="30" t="s">
        <v>49</v>
      </c>
      <c r="C6" s="33" t="s">
        <v>50</v>
      </c>
    </row>
    <row r="7" spans="2:6" x14ac:dyDescent="0.25">
      <c r="B7" s="30" t="s">
        <v>51</v>
      </c>
      <c r="C7" s="33">
        <v>38</v>
      </c>
    </row>
    <row r="8" spans="2:6" x14ac:dyDescent="0.25">
      <c r="B8" s="30" t="s">
        <v>52</v>
      </c>
      <c r="C8" s="34">
        <v>105000</v>
      </c>
      <c r="F8" s="2" t="s">
        <v>53</v>
      </c>
    </row>
    <row r="9" spans="2:6" x14ac:dyDescent="0.25">
      <c r="B9" s="30" t="s">
        <v>54</v>
      </c>
      <c r="C9" s="34">
        <v>92000</v>
      </c>
      <c r="F9" s="2" t="s">
        <v>55</v>
      </c>
    </row>
    <row r="11" spans="2:6" x14ac:dyDescent="0.25">
      <c r="B11" s="3" t="s">
        <v>56</v>
      </c>
    </row>
    <row r="12" spans="2:6" x14ac:dyDescent="0.25">
      <c r="B12" s="30" t="s">
        <v>49</v>
      </c>
      <c r="C12" s="33" t="s">
        <v>57</v>
      </c>
    </row>
    <row r="13" spans="2:6" x14ac:dyDescent="0.25">
      <c r="B13" s="30" t="s">
        <v>51</v>
      </c>
      <c r="C13" s="33">
        <v>36</v>
      </c>
    </row>
    <row r="14" spans="2:6" x14ac:dyDescent="0.25">
      <c r="B14" s="30" t="s">
        <v>52</v>
      </c>
      <c r="C14" s="34">
        <v>88000</v>
      </c>
    </row>
    <row r="15" spans="2:6" x14ac:dyDescent="0.25">
      <c r="B15" s="30" t="s">
        <v>54</v>
      </c>
      <c r="C15" s="34">
        <v>68000</v>
      </c>
      <c r="F15" s="2" t="s">
        <v>58</v>
      </c>
    </row>
    <row r="17" spans="2:6" x14ac:dyDescent="0.25">
      <c r="B17" s="3" t="s">
        <v>2</v>
      </c>
    </row>
    <row r="18" spans="2:6" x14ac:dyDescent="0.25">
      <c r="B18" s="30" t="s">
        <v>59</v>
      </c>
      <c r="C18" s="33">
        <v>67</v>
      </c>
    </row>
    <row r="19" spans="2:6" x14ac:dyDescent="0.25">
      <c r="B19" s="30" t="s">
        <v>60</v>
      </c>
      <c r="C19" s="30">
        <f>C18-C7</f>
        <v>29</v>
      </c>
      <c r="F19" s="2" t="s">
        <v>61</v>
      </c>
    </row>
    <row r="20" spans="2:6" x14ac:dyDescent="0.25">
      <c r="B20" s="30" t="s">
        <v>62</v>
      </c>
      <c r="C20" s="34">
        <v>96000</v>
      </c>
      <c r="F20" s="2" t="s">
        <v>63</v>
      </c>
    </row>
    <row r="21" spans="2:6" x14ac:dyDescent="0.25">
      <c r="B21" s="30" t="s">
        <v>64</v>
      </c>
      <c r="C21" s="35">
        <v>34000</v>
      </c>
      <c r="F21" s="2" t="s">
        <v>65</v>
      </c>
    </row>
    <row r="22" spans="2:6" x14ac:dyDescent="0.25">
      <c r="B22" s="30" t="s">
        <v>66</v>
      </c>
      <c r="C22" s="32">
        <v>0.32</v>
      </c>
      <c r="F22" s="2" t="s">
        <v>67</v>
      </c>
    </row>
    <row r="24" spans="2:6" x14ac:dyDescent="0.25">
      <c r="B24" s="3" t="s">
        <v>68</v>
      </c>
    </row>
    <row r="25" spans="2:6" x14ac:dyDescent="0.25">
      <c r="B25" s="30" t="s">
        <v>69</v>
      </c>
      <c r="C25" s="34">
        <v>720000</v>
      </c>
    </row>
    <row r="26" spans="2:6" x14ac:dyDescent="0.25">
      <c r="B26" s="30" t="s">
        <v>70</v>
      </c>
      <c r="C26" s="31">
        <v>5.8999999999999997E-2</v>
      </c>
      <c r="F26" s="2" t="s">
        <v>71</v>
      </c>
    </row>
    <row r="27" spans="2:6" x14ac:dyDescent="0.25">
      <c r="B27" s="30" t="s">
        <v>72</v>
      </c>
      <c r="C27" s="33">
        <v>25</v>
      </c>
    </row>
    <row r="28" spans="2:6" x14ac:dyDescent="0.25">
      <c r="B28" s="30" t="s">
        <v>73</v>
      </c>
      <c r="C28" s="36">
        <f>-PMT(C26,C27,C25)</f>
        <v>55789.166988593286</v>
      </c>
      <c r="F28" s="2" t="s">
        <v>74</v>
      </c>
    </row>
    <row r="30" spans="2:6" x14ac:dyDescent="0.25">
      <c r="B30" s="3" t="s">
        <v>75</v>
      </c>
    </row>
    <row r="31" spans="2:6" x14ac:dyDescent="0.25">
      <c r="B31" s="30" t="s">
        <v>76</v>
      </c>
      <c r="C31" s="34">
        <v>45000</v>
      </c>
    </row>
    <row r="32" spans="2:6" x14ac:dyDescent="0.25">
      <c r="B32" s="30" t="s">
        <v>77</v>
      </c>
      <c r="C32" s="34">
        <v>25000</v>
      </c>
    </row>
    <row r="34" spans="2:6" x14ac:dyDescent="0.25">
      <c r="B34" s="3" t="s">
        <v>78</v>
      </c>
    </row>
    <row r="35" spans="2:6" x14ac:dyDescent="0.25">
      <c r="B35" s="30" t="s">
        <v>79</v>
      </c>
      <c r="C35" s="31">
        <v>7.0000000000000007E-2</v>
      </c>
      <c r="F35" s="2" t="s">
        <v>80</v>
      </c>
    </row>
    <row r="36" spans="2:6" x14ac:dyDescent="0.25">
      <c r="B36" s="30" t="s">
        <v>81</v>
      </c>
      <c r="C36" s="31">
        <v>6.5000000000000002E-2</v>
      </c>
      <c r="F36" s="2" t="s">
        <v>82</v>
      </c>
    </row>
    <row r="37" spans="2:6" x14ac:dyDescent="0.25">
      <c r="B37" s="30" t="s">
        <v>83</v>
      </c>
      <c r="C37" s="31">
        <v>0.115</v>
      </c>
      <c r="F37" s="2" t="s">
        <v>84</v>
      </c>
    </row>
    <row r="38" spans="2:6" x14ac:dyDescent="0.25">
      <c r="B38" s="30" t="s">
        <v>85</v>
      </c>
      <c r="C38" s="32">
        <v>2.5000000000000001E-2</v>
      </c>
      <c r="F38" s="2" t="s">
        <v>86</v>
      </c>
    </row>
    <row r="39" spans="2:6" x14ac:dyDescent="0.25">
      <c r="B39" s="30" t="s">
        <v>87</v>
      </c>
      <c r="C39" s="32">
        <v>0.03</v>
      </c>
    </row>
    <row r="40" spans="2:6" x14ac:dyDescent="0.25">
      <c r="B40" s="30" t="s">
        <v>88</v>
      </c>
      <c r="C40" s="32">
        <v>1.35E-2</v>
      </c>
      <c r="F40" s="2" t="s">
        <v>89</v>
      </c>
    </row>
    <row r="41" spans="2:6" x14ac:dyDescent="0.25">
      <c r="B41" s="30" t="s">
        <v>90</v>
      </c>
      <c r="C41" s="32">
        <v>6.4999999999999997E-3</v>
      </c>
      <c r="F41" s="2" t="s">
        <v>91</v>
      </c>
    </row>
    <row r="42" spans="2:6" x14ac:dyDescent="0.25">
      <c r="B42" s="30" t="s">
        <v>92</v>
      </c>
      <c r="C42" s="31">
        <v>1.35E-2</v>
      </c>
      <c r="F42" s="2" t="s">
        <v>93</v>
      </c>
    </row>
    <row r="44" spans="2:6" x14ac:dyDescent="0.25">
      <c r="B44" s="3" t="s">
        <v>94</v>
      </c>
    </row>
    <row r="45" spans="2:6" x14ac:dyDescent="0.25">
      <c r="B45" s="6" t="s">
        <v>95</v>
      </c>
      <c r="C45" s="9">
        <v>1</v>
      </c>
      <c r="F45" s="2" t="s">
        <v>96</v>
      </c>
    </row>
    <row r="47" spans="2:6" x14ac:dyDescent="0.25">
      <c r="B47" s="3" t="s">
        <v>97</v>
      </c>
    </row>
    <row r="48" spans="2:6" ht="30" customHeight="1" x14ac:dyDescent="0.25">
      <c r="B48" s="10" t="s">
        <v>98</v>
      </c>
      <c r="C48" s="10" t="s">
        <v>99</v>
      </c>
      <c r="D48" s="10" t="s">
        <v>100</v>
      </c>
      <c r="E48" s="10" t="s">
        <v>101</v>
      </c>
      <c r="F48" s="10" t="s">
        <v>102</v>
      </c>
    </row>
    <row r="49" spans="2:6" x14ac:dyDescent="0.25">
      <c r="B49" s="37">
        <v>1</v>
      </c>
      <c r="C49" s="30" t="s">
        <v>103</v>
      </c>
      <c r="D49" s="36">
        <v>0</v>
      </c>
      <c r="E49" s="36">
        <v>0</v>
      </c>
      <c r="F49" s="36">
        <f>$C$21*(1-$C$22)</f>
        <v>23119.999999999996</v>
      </c>
    </row>
    <row r="50" spans="2:6" x14ac:dyDescent="0.25">
      <c r="B50" s="37">
        <v>2</v>
      </c>
      <c r="C50" s="30" t="s">
        <v>104</v>
      </c>
      <c r="D50" s="36">
        <f>$C$21</f>
        <v>34000</v>
      </c>
      <c r="E50" s="36">
        <v>0</v>
      </c>
      <c r="F50" s="36">
        <v>0</v>
      </c>
    </row>
    <row r="51" spans="2:6" x14ac:dyDescent="0.25">
      <c r="B51" s="37">
        <v>3</v>
      </c>
      <c r="C51" s="30" t="s">
        <v>105</v>
      </c>
      <c r="D51" s="36">
        <v>0</v>
      </c>
      <c r="E51" s="36">
        <f>$C$21*(1-$C$22)</f>
        <v>23119.999999999996</v>
      </c>
      <c r="F51" s="36">
        <v>0</v>
      </c>
    </row>
    <row r="52" spans="2:6" x14ac:dyDescent="0.25">
      <c r="B52" s="37">
        <v>4</v>
      </c>
      <c r="C52" s="30" t="s">
        <v>106</v>
      </c>
      <c r="D52" s="36">
        <f>$C$21*0.5</f>
        <v>17000</v>
      </c>
      <c r="E52" s="36">
        <f>$C$21*0.5*(1-$C$22)</f>
        <v>11559.999999999998</v>
      </c>
      <c r="F52" s="36">
        <v>0</v>
      </c>
    </row>
    <row r="54" spans="2:6" x14ac:dyDescent="0.25">
      <c r="B54" s="2" t="s">
        <v>107</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F36"/>
  <sheetViews>
    <sheetView showGridLines="0" zoomScaleNormal="100" workbookViewId="0">
      <selection activeCell="F11" sqref="F11:F12"/>
    </sheetView>
  </sheetViews>
  <sheetFormatPr defaultColWidth="8.7109375" defaultRowHeight="15" x14ac:dyDescent="0.25"/>
  <cols>
    <col min="1" max="1" width="2" customWidth="1"/>
    <col min="2" max="2" width="40" customWidth="1"/>
    <col min="3" max="3" width="16" customWidth="1"/>
    <col min="4" max="4" width="14" customWidth="1"/>
    <col min="5" max="5" width="16" customWidth="1"/>
    <col min="6" max="6" width="62" customWidth="1"/>
  </cols>
  <sheetData>
    <row r="2" spans="2:6" ht="18" x14ac:dyDescent="0.25">
      <c r="B2" s="53" t="s">
        <v>108</v>
      </c>
      <c r="C2" s="51"/>
      <c r="D2" s="51"/>
      <c r="E2" s="51"/>
      <c r="F2" s="51"/>
    </row>
    <row r="3" spans="2:6" x14ac:dyDescent="0.25">
      <c r="B3" s="52" t="s">
        <v>109</v>
      </c>
      <c r="C3" s="51"/>
      <c r="D3" s="51"/>
      <c r="E3" s="51"/>
      <c r="F3" s="51"/>
    </row>
    <row r="5" spans="2:6" x14ac:dyDescent="0.25">
      <c r="B5" s="3" t="s">
        <v>110</v>
      </c>
    </row>
    <row r="6" spans="2:6" ht="25.5" customHeight="1" x14ac:dyDescent="0.25">
      <c r="B6" s="11" t="s">
        <v>111</v>
      </c>
      <c r="C6" s="11" t="s">
        <v>112</v>
      </c>
      <c r="D6" s="11" t="s">
        <v>113</v>
      </c>
      <c r="E6" s="11" t="s">
        <v>114</v>
      </c>
    </row>
    <row r="7" spans="2:6" x14ac:dyDescent="0.25">
      <c r="B7" s="34">
        <v>0</v>
      </c>
      <c r="C7" s="34">
        <v>18200</v>
      </c>
      <c r="D7" s="38">
        <v>0</v>
      </c>
      <c r="E7" s="38">
        <v>0</v>
      </c>
      <c r="F7" s="2" t="s">
        <v>115</v>
      </c>
    </row>
    <row r="8" spans="2:6" x14ac:dyDescent="0.25">
      <c r="B8" s="34">
        <v>18200</v>
      </c>
      <c r="C8" s="34">
        <v>45000</v>
      </c>
      <c r="D8" s="38">
        <v>0.15</v>
      </c>
      <c r="E8" s="38">
        <v>0.15</v>
      </c>
      <c r="F8" s="2" t="s">
        <v>116</v>
      </c>
    </row>
    <row r="9" spans="2:6" x14ac:dyDescent="0.25">
      <c r="B9" s="34">
        <v>45000</v>
      </c>
      <c r="C9" s="34">
        <v>135000</v>
      </c>
      <c r="D9" s="38">
        <v>0.3</v>
      </c>
      <c r="E9" s="38">
        <v>0.15</v>
      </c>
    </row>
    <row r="10" spans="2:6" x14ac:dyDescent="0.25">
      <c r="B10" s="34">
        <v>135000</v>
      </c>
      <c r="C10" s="34">
        <v>190000</v>
      </c>
      <c r="D10" s="38">
        <v>0.37</v>
      </c>
      <c r="E10" s="38">
        <v>7.0000000000000007E-2</v>
      </c>
    </row>
    <row r="11" spans="2:6" x14ac:dyDescent="0.25">
      <c r="B11" s="34">
        <v>190000</v>
      </c>
      <c r="C11" s="33" t="s">
        <v>117</v>
      </c>
      <c r="D11" s="38">
        <v>0.45</v>
      </c>
      <c r="E11" s="38">
        <v>0.08</v>
      </c>
    </row>
    <row r="13" spans="2:6" x14ac:dyDescent="0.25">
      <c r="B13" s="3" t="s">
        <v>118</v>
      </c>
    </row>
    <row r="14" spans="2:6" x14ac:dyDescent="0.25">
      <c r="B14" s="30" t="s">
        <v>119</v>
      </c>
      <c r="C14" s="38">
        <v>0.02</v>
      </c>
      <c r="F14" s="2" t="s">
        <v>120</v>
      </c>
    </row>
    <row r="15" spans="2:6" x14ac:dyDescent="0.25">
      <c r="B15" s="30" t="s">
        <v>121</v>
      </c>
      <c r="C15" s="38">
        <v>0.12</v>
      </c>
      <c r="F15" s="2" t="s">
        <v>122</v>
      </c>
    </row>
    <row r="16" spans="2:6" x14ac:dyDescent="0.25">
      <c r="B16" s="30" t="s">
        <v>123</v>
      </c>
      <c r="C16" s="34">
        <v>270830</v>
      </c>
      <c r="F16" s="2" t="s">
        <v>124</v>
      </c>
    </row>
    <row r="17" spans="2:6" x14ac:dyDescent="0.25">
      <c r="B17" s="30" t="s">
        <v>125</v>
      </c>
      <c r="C17" s="34">
        <v>32500</v>
      </c>
      <c r="F17" s="2" t="s">
        <v>126</v>
      </c>
    </row>
    <row r="18" spans="2:6" x14ac:dyDescent="0.25">
      <c r="B18" s="30" t="s">
        <v>127</v>
      </c>
      <c r="C18" s="38">
        <v>0.15</v>
      </c>
      <c r="F18" s="2" t="s">
        <v>128</v>
      </c>
    </row>
    <row r="19" spans="2:6" x14ac:dyDescent="0.25">
      <c r="B19" s="30" t="s">
        <v>129</v>
      </c>
      <c r="C19" s="34">
        <v>250000</v>
      </c>
      <c r="F19" s="2" t="s">
        <v>130</v>
      </c>
    </row>
    <row r="20" spans="2:6" x14ac:dyDescent="0.25">
      <c r="B20" s="30" t="s">
        <v>131</v>
      </c>
      <c r="C20" s="38">
        <v>0.15</v>
      </c>
      <c r="F20" s="2" t="s">
        <v>132</v>
      </c>
    </row>
    <row r="21" spans="2:6" x14ac:dyDescent="0.25">
      <c r="B21" s="30" t="s">
        <v>133</v>
      </c>
      <c r="C21" s="34">
        <v>130000</v>
      </c>
      <c r="F21" s="2" t="s">
        <v>134</v>
      </c>
    </row>
    <row r="22" spans="2:6" x14ac:dyDescent="0.25">
      <c r="B22" s="30" t="s">
        <v>135</v>
      </c>
      <c r="C22" s="33">
        <v>60</v>
      </c>
      <c r="F22" s="2" t="s">
        <v>136</v>
      </c>
    </row>
    <row r="23" spans="2:6" x14ac:dyDescent="0.25">
      <c r="B23" s="30" t="s">
        <v>137</v>
      </c>
      <c r="C23" s="34">
        <v>2100000</v>
      </c>
      <c r="F23" s="2" t="s">
        <v>138</v>
      </c>
    </row>
    <row r="24" spans="2:6" x14ac:dyDescent="0.25">
      <c r="B24" s="30" t="s">
        <v>139</v>
      </c>
      <c r="C24" s="38">
        <v>0.5</v>
      </c>
      <c r="F24" s="2" t="s">
        <v>140</v>
      </c>
    </row>
    <row r="25" spans="2:6" x14ac:dyDescent="0.25">
      <c r="B25" s="30" t="s">
        <v>141</v>
      </c>
      <c r="C25" s="34">
        <v>78566</v>
      </c>
      <c r="F25" s="2" t="s">
        <v>142</v>
      </c>
    </row>
    <row r="26" spans="2:6" x14ac:dyDescent="0.25">
      <c r="B26" s="30" t="s">
        <v>143</v>
      </c>
      <c r="C26" s="34">
        <v>730000</v>
      </c>
      <c r="F26" s="2" t="s">
        <v>144</v>
      </c>
    </row>
    <row r="27" spans="2:6" x14ac:dyDescent="0.25">
      <c r="B27" s="30" t="s">
        <v>145</v>
      </c>
      <c r="C27" s="34">
        <v>52473</v>
      </c>
      <c r="F27" s="2" t="s">
        <v>146</v>
      </c>
    </row>
    <row r="28" spans="2:6" x14ac:dyDescent="0.25">
      <c r="B28" s="30" t="s">
        <v>147</v>
      </c>
      <c r="C28" s="38">
        <v>0.7</v>
      </c>
      <c r="F28" s="2" t="s">
        <v>148</v>
      </c>
    </row>
    <row r="29" spans="2:6" x14ac:dyDescent="0.25">
      <c r="B29" s="30" t="s">
        <v>149</v>
      </c>
      <c r="C29" s="38">
        <v>0.04</v>
      </c>
      <c r="F29" s="2" t="s">
        <v>150</v>
      </c>
    </row>
    <row r="30" spans="2:6" x14ac:dyDescent="0.25">
      <c r="B30" s="3" t="s">
        <v>151</v>
      </c>
    </row>
    <row r="31" spans="2:6" x14ac:dyDescent="0.25">
      <c r="B31" s="2" t="s">
        <v>152</v>
      </c>
    </row>
    <row r="32" spans="2:6" x14ac:dyDescent="0.25">
      <c r="B32" s="2" t="s">
        <v>153</v>
      </c>
    </row>
    <row r="33" spans="2:2" x14ac:dyDescent="0.25">
      <c r="B33" s="2" t="s">
        <v>154</v>
      </c>
    </row>
    <row r="34" spans="2:2" x14ac:dyDescent="0.25">
      <c r="B34" s="2" t="s">
        <v>155</v>
      </c>
    </row>
    <row r="35" spans="2:2" x14ac:dyDescent="0.25">
      <c r="B35" s="2" t="s">
        <v>156</v>
      </c>
    </row>
    <row r="36" spans="2:2" x14ac:dyDescent="0.25">
      <c r="B36" s="2" t="s">
        <v>157</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AQ36"/>
  <sheetViews>
    <sheetView showGridLines="0" tabSelected="1" zoomScaleNormal="100" workbookViewId="0">
      <pane xSplit="2" ySplit="6" topLeftCell="H25" activePane="bottomRight" state="frozen"/>
      <selection pane="topRight" activeCell="C1" sqref="C1"/>
      <selection pane="bottomLeft" activeCell="A7" sqref="A7"/>
      <selection pane="bottomRight" activeCell="P5" sqref="P5"/>
    </sheetView>
  </sheetViews>
  <sheetFormatPr defaultColWidth="8.7109375" defaultRowHeight="15" x14ac:dyDescent="0.25"/>
  <cols>
    <col min="1" max="1" width="14.42578125" customWidth="1"/>
    <col min="2" max="2" width="12.140625" bestFit="1" customWidth="1"/>
    <col min="3" max="3" width="6.7109375" bestFit="1" customWidth="1"/>
    <col min="4" max="4" width="9" customWidth="1"/>
    <col min="5" max="43" width="13" customWidth="1"/>
  </cols>
  <sheetData>
    <row r="2" spans="1:43" ht="18" x14ac:dyDescent="0.25">
      <c r="A2" s="50" t="s">
        <v>306</v>
      </c>
      <c r="B2" s="51"/>
      <c r="C2" s="51"/>
      <c r="D2" s="51"/>
      <c r="E2" s="51"/>
      <c r="F2" s="51"/>
      <c r="G2" s="51"/>
      <c r="K2" s="54" t="s">
        <v>158</v>
      </c>
      <c r="L2" s="55"/>
      <c r="M2" s="56" t="str">
        <f>INDEX(Inputs!$C$49:$C$52,Inputs!$C$45)</f>
        <v>Base case - surplus invested outside super</v>
      </c>
      <c r="N2" s="55"/>
      <c r="O2" s="55"/>
    </row>
    <row r="3" spans="1:43" x14ac:dyDescent="0.25">
      <c r="A3" s="52" t="s">
        <v>159</v>
      </c>
      <c r="B3" s="51"/>
      <c r="C3" s="51"/>
      <c r="D3" s="51"/>
      <c r="E3" s="51"/>
      <c r="F3" s="51"/>
      <c r="G3" s="51"/>
      <c r="K3" s="54" t="s">
        <v>160</v>
      </c>
      <c r="L3" s="55"/>
      <c r="M3" s="57" t="str">
        <f>IF(COUNTIF(AQ7:AQ36,"CHECK")=0,"YES","REVIEW")</f>
        <v>YES</v>
      </c>
      <c r="N3" s="55"/>
      <c r="O3" s="55"/>
    </row>
    <row r="6" spans="1:43" ht="33.75" customHeight="1" x14ac:dyDescent="0.25">
      <c r="A6" s="11" t="s">
        <v>161</v>
      </c>
      <c r="B6" s="11" t="s">
        <v>162</v>
      </c>
      <c r="C6" s="11" t="s">
        <v>163</v>
      </c>
      <c r="D6" s="11" t="s">
        <v>164</v>
      </c>
      <c r="E6" s="11" t="s">
        <v>165</v>
      </c>
      <c r="F6" s="11" t="s">
        <v>166</v>
      </c>
      <c r="G6" s="11" t="s">
        <v>167</v>
      </c>
      <c r="H6" s="11" t="s">
        <v>168</v>
      </c>
      <c r="I6" s="11" t="s">
        <v>169</v>
      </c>
      <c r="J6" s="11" t="s">
        <v>170</v>
      </c>
      <c r="K6" s="11" t="s">
        <v>171</v>
      </c>
      <c r="L6" s="11" t="s">
        <v>172</v>
      </c>
      <c r="M6" s="11" t="s">
        <v>173</v>
      </c>
      <c r="N6" s="11" t="s">
        <v>174</v>
      </c>
      <c r="O6" s="11" t="s">
        <v>175</v>
      </c>
      <c r="P6" s="11" t="s">
        <v>176</v>
      </c>
      <c r="Q6" s="11" t="s">
        <v>177</v>
      </c>
      <c r="R6" s="11" t="s">
        <v>178</v>
      </c>
      <c r="S6" s="11" t="s">
        <v>179</v>
      </c>
      <c r="T6" s="11" t="s">
        <v>180</v>
      </c>
      <c r="U6" s="11" t="s">
        <v>181</v>
      </c>
      <c r="V6" s="11" t="s">
        <v>182</v>
      </c>
      <c r="W6" s="11" t="s">
        <v>183</v>
      </c>
      <c r="X6" s="11" t="s">
        <v>184</v>
      </c>
      <c r="Y6" s="11" t="s">
        <v>185</v>
      </c>
      <c r="Z6" s="11" t="s">
        <v>186</v>
      </c>
      <c r="AA6" s="11" t="s">
        <v>187</v>
      </c>
      <c r="AB6" s="11" t="s">
        <v>188</v>
      </c>
      <c r="AC6" s="11" t="s">
        <v>189</v>
      </c>
      <c r="AD6" s="11" t="s">
        <v>190</v>
      </c>
      <c r="AE6" s="11" t="s">
        <v>191</v>
      </c>
      <c r="AF6" s="11" t="s">
        <v>192</v>
      </c>
      <c r="AG6" s="11" t="s">
        <v>193</v>
      </c>
      <c r="AH6" s="11" t="s">
        <v>194</v>
      </c>
      <c r="AI6" s="11" t="s">
        <v>195</v>
      </c>
      <c r="AJ6" s="11" t="s">
        <v>196</v>
      </c>
      <c r="AK6" s="11" t="s">
        <v>197</v>
      </c>
      <c r="AL6" s="11" t="s">
        <v>198</v>
      </c>
      <c r="AM6" s="11" t="s">
        <v>199</v>
      </c>
      <c r="AN6" s="11" t="s">
        <v>200</v>
      </c>
      <c r="AO6" s="11" t="s">
        <v>201</v>
      </c>
      <c r="AP6" s="11" t="s">
        <v>202</v>
      </c>
      <c r="AQ6" s="11" t="s">
        <v>203</v>
      </c>
    </row>
    <row r="7" spans="1:43" x14ac:dyDescent="0.25">
      <c r="A7" s="6">
        <v>1</v>
      </c>
      <c r="B7" s="6" t="s">
        <v>204</v>
      </c>
      <c r="C7" s="6">
        <f>Inputs!$C$7+A7-1</f>
        <v>38</v>
      </c>
      <c r="D7" s="6">
        <f>Inputs!$C$13+A7-1</f>
        <v>36</v>
      </c>
      <c r="E7" s="12">
        <f>Inputs!$C$8*(1+Inputs!$C$39)^(A7-1)</f>
        <v>105000</v>
      </c>
      <c r="F7" s="12">
        <f>Inputs!$C$14*(1+Inputs!$C$39)^(A7-1)</f>
        <v>88000</v>
      </c>
      <c r="G7" s="12">
        <f>INDEX(Inputs!$D$49:$D$52,Inputs!$C$45)*(1+Inputs!$C$39)^(A7-1)*E7/(E7+F7)</f>
        <v>0</v>
      </c>
      <c r="H7" s="12">
        <f>INDEX(Inputs!$D$49:$D$52,Inputs!$C$45)*(1+Inputs!$C$39)^(A7-1)*F7/(E7+F7)</f>
        <v>0</v>
      </c>
      <c r="I7" s="12">
        <f>MIN(E7,Rules!$C$16*(1+Inputs!$C$39)^(A7-1))*Rules!$C$15</f>
        <v>12600</v>
      </c>
      <c r="J7" s="12">
        <f>MIN(F7,Rules!$C$16*(1+Inputs!$C$39)^(A7-1))*Rules!$C$15</f>
        <v>10560</v>
      </c>
      <c r="K7" s="12">
        <f t="shared" ref="K7:K36" si="0">G7+I7</f>
        <v>12600</v>
      </c>
      <c r="L7" s="12">
        <f t="shared" ref="L7:L36" si="1">H7+J7</f>
        <v>10560</v>
      </c>
      <c r="M7" s="12">
        <f>Rules!$C$17*(1+Inputs!$C$39)^(A7-1)</f>
        <v>32500</v>
      </c>
      <c r="N7" s="12">
        <f t="shared" ref="N7:N36" si="2">MAX(0,K7-M7)</f>
        <v>0</v>
      </c>
      <c r="O7" s="12">
        <f t="shared" ref="O7:O36" si="3">MAX(0,L7-M7)</f>
        <v>0</v>
      </c>
      <c r="P7" s="12">
        <f t="shared" ref="P7:P36" si="4">E7-G7</f>
        <v>105000</v>
      </c>
      <c r="Q7" s="12">
        <f t="shared" ref="Q7:Q36" si="5">F7-H7</f>
        <v>88000</v>
      </c>
      <c r="R7" s="12">
        <f>SUMPRODUCT(--(P7&gt;Rules!$B$7:$B$11),(P7-Rules!$B$7:$B$11),Rules!$E$7:$E$11)+P7*Rules!$C$14</f>
        <v>24120</v>
      </c>
      <c r="S7" s="12">
        <f>SUMPRODUCT(--(Q7&gt;Rules!$B$7:$B$11),(Q7-Rules!$B$7:$B$11),Rules!$E$7:$E$11)+Q7*Rules!$C$14</f>
        <v>18680</v>
      </c>
      <c r="T7" s="12">
        <f t="shared" ref="T7:T36" si="6">(P7-R7)+(Q7-S7)</f>
        <v>150200</v>
      </c>
      <c r="U7" s="12">
        <f>Inputs!$C$20*(1+Inputs!$C$38)^(A7-1)</f>
        <v>96000</v>
      </c>
      <c r="V7" s="12">
        <f>Inputs!$C$25</f>
        <v>720000</v>
      </c>
      <c r="W7" s="12">
        <f>V7*Inputs!$C$26</f>
        <v>42480</v>
      </c>
      <c r="X7" s="12">
        <f>IF(V7&lt;=0,0,MIN(Inputs!$C$28,V7+W7))</f>
        <v>55789.166988593286</v>
      </c>
      <c r="Y7" s="12">
        <f>IF(V7&lt;=0,0,MIN(INDEX(Inputs!$E$49:$E$52,Inputs!$C$45),MAX(0,V7+W7-X7)))</f>
        <v>0</v>
      </c>
      <c r="Z7" s="12">
        <f t="shared" ref="Z7:Z36" si="7">MAX(0,V7+W7-X7-Y7)</f>
        <v>706690.83301140671</v>
      </c>
      <c r="AA7" s="12">
        <f>Inputs!$C$31+Inputs!$C$32</f>
        <v>70000</v>
      </c>
      <c r="AB7" s="12">
        <f>INDEX(Inputs!$F$49:$F$52,Inputs!$C$45)+IF(V7&lt;=0,Inputs!$C$28+INDEX(Inputs!$E$49:$E$52,Inputs!$C$45),0)</f>
        <v>23119.999999999996</v>
      </c>
      <c r="AC7" s="12">
        <f>(AA7+AB7/2)*Inputs!$C$36</f>
        <v>5301.4000000000005</v>
      </c>
      <c r="AD7" s="12">
        <f t="shared" ref="AD7:AD36" si="8">AA7+AB7+AC7</f>
        <v>98421.4</v>
      </c>
      <c r="AE7" s="12">
        <f>Inputs!$C$9</f>
        <v>92000</v>
      </c>
      <c r="AF7" s="12">
        <f>K7*(1-Rules!$C$18)-MAX(0,MIN(K7,P7+K7-Rules!$C$19))*Rules!$C$20</f>
        <v>10710</v>
      </c>
      <c r="AG7" s="12">
        <f>(AE7+AF7/2)*Inputs!$C$35</f>
        <v>6814.85</v>
      </c>
      <c r="AH7" s="12">
        <f>(AE7+AF7/2)*Inputs!$C$42</f>
        <v>1314.2925</v>
      </c>
      <c r="AI7" s="12">
        <f t="shared" ref="AI7:AI36" si="9">AE7+AF7+AG7-AH7</f>
        <v>108210.55750000001</v>
      </c>
      <c r="AJ7" s="12">
        <f>Inputs!$C$15</f>
        <v>68000</v>
      </c>
      <c r="AK7" s="12">
        <f>L7*(1-Rules!$C$18)-MAX(0,MIN(L7,Q7+L7-Rules!$C$19))*Rules!$C$20</f>
        <v>8976</v>
      </c>
      <c r="AL7" s="12">
        <f>(AJ7+AK7/2)*Inputs!$C$35</f>
        <v>5074.1600000000008</v>
      </c>
      <c r="AM7" s="12">
        <f>(AJ7+AK7/2)*Inputs!$C$42</f>
        <v>978.58799999999997</v>
      </c>
      <c r="AN7" s="12">
        <f t="shared" ref="AN7:AN36" si="10">AJ7+AK7+AL7-AM7</f>
        <v>81071.572</v>
      </c>
      <c r="AO7" s="12">
        <f t="shared" ref="AO7:AO36" si="11">AI7+AN7</f>
        <v>189282.12950000001</v>
      </c>
      <c r="AP7" s="12">
        <f t="shared" ref="AP7:AP36" si="12">AO7+AD7-Z7</f>
        <v>-418987.3035114067</v>
      </c>
      <c r="AQ7" s="6" t="str">
        <f t="shared" ref="AQ7:AQ36" si="13">IF(AND(N7=0,O7=0,Z7&gt;=0,AI7&gt;=0,AN7&gt;=0),"OK","CHECK")</f>
        <v>OK</v>
      </c>
    </row>
    <row r="8" spans="1:43" x14ac:dyDescent="0.25">
      <c r="A8" s="13">
        <v>2</v>
      </c>
      <c r="B8" s="13" t="s">
        <v>205</v>
      </c>
      <c r="C8" s="13">
        <f>Inputs!$C$7+A8-1</f>
        <v>39</v>
      </c>
      <c r="D8" s="13">
        <f>Inputs!$C$13+A8-1</f>
        <v>37</v>
      </c>
      <c r="E8" s="14">
        <f>Inputs!$C$8*(1+Inputs!$C$39)^(A8-1)</f>
        <v>108150</v>
      </c>
      <c r="F8" s="14">
        <f>Inputs!$C$14*(1+Inputs!$C$39)^(A8-1)</f>
        <v>90640</v>
      </c>
      <c r="G8" s="14">
        <f>INDEX(Inputs!$D$49:$D$52,Inputs!$C$45)*(1+Inputs!$C$39)^(A8-1)*E8/(E8+F8)</f>
        <v>0</v>
      </c>
      <c r="H8" s="14">
        <f>INDEX(Inputs!$D$49:$D$52,Inputs!$C$45)*(1+Inputs!$C$39)^(A8-1)*F8/(E8+F8)</f>
        <v>0</v>
      </c>
      <c r="I8" s="14">
        <f>MIN(E8,Rules!$C$16*(1+Inputs!$C$39)^(A8-1))*Rules!$C$15</f>
        <v>12978</v>
      </c>
      <c r="J8" s="14">
        <f>MIN(F8,Rules!$C$16*(1+Inputs!$C$39)^(A8-1))*Rules!$C$15</f>
        <v>10876.8</v>
      </c>
      <c r="K8" s="14">
        <f t="shared" si="0"/>
        <v>12978</v>
      </c>
      <c r="L8" s="14">
        <f t="shared" si="1"/>
        <v>10876.8</v>
      </c>
      <c r="M8" s="14">
        <f>Rules!$C$17*(1+Inputs!$C$39)^(A8-1)</f>
        <v>33475</v>
      </c>
      <c r="N8" s="14">
        <f t="shared" si="2"/>
        <v>0</v>
      </c>
      <c r="O8" s="14">
        <f t="shared" si="3"/>
        <v>0</v>
      </c>
      <c r="P8" s="14">
        <f t="shared" si="4"/>
        <v>108150</v>
      </c>
      <c r="Q8" s="14">
        <f t="shared" si="5"/>
        <v>90640</v>
      </c>
      <c r="R8" s="14">
        <f>SUMPRODUCT(--(P8&gt;Rules!$B$7:$B$11),(P8-Rules!$B$7:$B$11),Rules!$E$7:$E$11)+P8*Rules!$C$14</f>
        <v>25128</v>
      </c>
      <c r="S8" s="14">
        <f>SUMPRODUCT(--(Q8&gt;Rules!$B$7:$B$11),(Q8-Rules!$B$7:$B$11),Rules!$E$7:$E$11)+Q8*Rules!$C$14</f>
        <v>19524.8</v>
      </c>
      <c r="T8" s="14">
        <f t="shared" si="6"/>
        <v>154137.20000000001</v>
      </c>
      <c r="U8" s="14">
        <f>Inputs!$C$20*(1+Inputs!$C$38)^(A8-1)</f>
        <v>98399.999999999985</v>
      </c>
      <c r="V8" s="14">
        <f t="shared" ref="V8:V36" si="14">Z7</f>
        <v>706690.83301140671</v>
      </c>
      <c r="W8" s="14">
        <f>V8*Inputs!$C$26</f>
        <v>41694.759147672994</v>
      </c>
      <c r="X8" s="14">
        <f>IF(V8&lt;=0,0,MIN(Inputs!$C$28,V8+W8))</f>
        <v>55789.166988593286</v>
      </c>
      <c r="Y8" s="14">
        <f>IF(V8&lt;=0,0,MIN(INDEX(Inputs!$E$49:$E$52,Inputs!$C$45),MAX(0,V8+W8-X8)))</f>
        <v>0</v>
      </c>
      <c r="Z8" s="14">
        <f t="shared" si="7"/>
        <v>692596.42517048644</v>
      </c>
      <c r="AA8" s="14">
        <f t="shared" ref="AA8:AA36" si="15">AD7</f>
        <v>98421.4</v>
      </c>
      <c r="AB8" s="14">
        <f>INDEX(Inputs!$F$49:$F$52,Inputs!$C$45)+IF(V8&lt;=0,Inputs!$C$28+INDEX(Inputs!$E$49:$E$52,Inputs!$C$45),0)</f>
        <v>23119.999999999996</v>
      </c>
      <c r="AC8" s="14">
        <f>(AA8+AB8/2)*Inputs!$C$36</f>
        <v>7148.7910000000002</v>
      </c>
      <c r="AD8" s="14">
        <f t="shared" si="8"/>
        <v>128690.19099999999</v>
      </c>
      <c r="AE8" s="14">
        <f t="shared" ref="AE8:AE36" si="16">AI7</f>
        <v>108210.55750000001</v>
      </c>
      <c r="AF8" s="14">
        <f>K8*(1-Rules!$C$18)-MAX(0,MIN(K8,P8+K8-Rules!$C$19))*Rules!$C$20</f>
        <v>11031.3</v>
      </c>
      <c r="AG8" s="14">
        <f>(AE8+AF8/2)*Inputs!$C$35</f>
        <v>7960.8345250000011</v>
      </c>
      <c r="AH8" s="14">
        <f>(AE8+AF8/2)*Inputs!$C$42</f>
        <v>1535.3038012500001</v>
      </c>
      <c r="AI8" s="14">
        <f t="shared" si="9"/>
        <v>125667.38822375001</v>
      </c>
      <c r="AJ8" s="14">
        <f t="shared" ref="AJ8:AJ36" si="17">AN7</f>
        <v>81071.572</v>
      </c>
      <c r="AK8" s="14">
        <f>L8*(1-Rules!$C$18)-MAX(0,MIN(L8,Q8+L8-Rules!$C$19))*Rules!$C$20</f>
        <v>9245.2799999999988</v>
      </c>
      <c r="AL8" s="14">
        <f>(AJ8+AK8/2)*Inputs!$C$35</f>
        <v>5998.5948400000007</v>
      </c>
      <c r="AM8" s="14">
        <f>(AJ8+AK8/2)*Inputs!$C$42</f>
        <v>1156.871862</v>
      </c>
      <c r="AN8" s="14">
        <f t="shared" si="10"/>
        <v>95158.574978000004</v>
      </c>
      <c r="AO8" s="14">
        <f t="shared" si="11"/>
        <v>220825.96320175001</v>
      </c>
      <c r="AP8" s="14">
        <f t="shared" si="12"/>
        <v>-343080.27096873644</v>
      </c>
      <c r="AQ8" s="13" t="str">
        <f t="shared" si="13"/>
        <v>OK</v>
      </c>
    </row>
    <row r="9" spans="1:43" x14ac:dyDescent="0.25">
      <c r="A9" s="6">
        <v>3</v>
      </c>
      <c r="B9" s="6" t="s">
        <v>206</v>
      </c>
      <c r="C9" s="6">
        <f>Inputs!$C$7+A9-1</f>
        <v>40</v>
      </c>
      <c r="D9" s="6">
        <f>Inputs!$C$13+A9-1</f>
        <v>38</v>
      </c>
      <c r="E9" s="12">
        <f>Inputs!$C$8*(1+Inputs!$C$39)^(A9-1)</f>
        <v>111394.5</v>
      </c>
      <c r="F9" s="12">
        <f>Inputs!$C$14*(1+Inputs!$C$39)^(A9-1)</f>
        <v>93359.2</v>
      </c>
      <c r="G9" s="12">
        <f>INDEX(Inputs!$D$49:$D$52,Inputs!$C$45)*(1+Inputs!$C$39)^(A9-1)*E9/(E9+F9)</f>
        <v>0</v>
      </c>
      <c r="H9" s="12">
        <f>INDEX(Inputs!$D$49:$D$52,Inputs!$C$45)*(1+Inputs!$C$39)^(A9-1)*F9/(E9+F9)</f>
        <v>0</v>
      </c>
      <c r="I9" s="12">
        <f>MIN(E9,Rules!$C$16*(1+Inputs!$C$39)^(A9-1))*Rules!$C$15</f>
        <v>13367.34</v>
      </c>
      <c r="J9" s="12">
        <f>MIN(F9,Rules!$C$16*(1+Inputs!$C$39)^(A9-1))*Rules!$C$15</f>
        <v>11203.103999999999</v>
      </c>
      <c r="K9" s="12">
        <f t="shared" si="0"/>
        <v>13367.34</v>
      </c>
      <c r="L9" s="12">
        <f t="shared" si="1"/>
        <v>11203.103999999999</v>
      </c>
      <c r="M9" s="12">
        <f>Rules!$C$17*(1+Inputs!$C$39)^(A9-1)</f>
        <v>34479.25</v>
      </c>
      <c r="N9" s="12">
        <f t="shared" si="2"/>
        <v>0</v>
      </c>
      <c r="O9" s="12">
        <f t="shared" si="3"/>
        <v>0</v>
      </c>
      <c r="P9" s="12">
        <f t="shared" si="4"/>
        <v>111394.5</v>
      </c>
      <c r="Q9" s="12">
        <f t="shared" si="5"/>
        <v>93359.2</v>
      </c>
      <c r="R9" s="12">
        <f>SUMPRODUCT(--(P9&gt;Rules!$B$7:$B$11),(P9-Rules!$B$7:$B$11),Rules!$E$7:$E$11)+P9*Rules!$C$14</f>
        <v>26166.239999999998</v>
      </c>
      <c r="S9" s="12">
        <f>SUMPRODUCT(--(Q9&gt;Rules!$B$7:$B$11),(Q9-Rules!$B$7:$B$11),Rules!$E$7:$E$11)+Q9*Rules!$C$14</f>
        <v>20394.944</v>
      </c>
      <c r="T9" s="12">
        <f t="shared" si="6"/>
        <v>158192.516</v>
      </c>
      <c r="U9" s="12">
        <f>Inputs!$C$20*(1+Inputs!$C$38)^(A9-1)</f>
        <v>100859.99999999999</v>
      </c>
      <c r="V9" s="12">
        <f t="shared" si="14"/>
        <v>692596.42517048644</v>
      </c>
      <c r="W9" s="12">
        <f>V9*Inputs!$C$26</f>
        <v>40863.189085058701</v>
      </c>
      <c r="X9" s="12">
        <f>IF(V9&lt;=0,0,MIN(Inputs!$C$28,V9+W9))</f>
        <v>55789.166988593286</v>
      </c>
      <c r="Y9" s="12">
        <f>IF(V9&lt;=0,0,MIN(INDEX(Inputs!$E$49:$E$52,Inputs!$C$45),MAX(0,V9+W9-X9)))</f>
        <v>0</v>
      </c>
      <c r="Z9" s="12">
        <f t="shared" si="7"/>
        <v>677670.4472669519</v>
      </c>
      <c r="AA9" s="12">
        <f t="shared" si="15"/>
        <v>128690.19099999999</v>
      </c>
      <c r="AB9" s="12">
        <f>INDEX(Inputs!$F$49:$F$52,Inputs!$C$45)+IF(V9&lt;=0,Inputs!$C$28+INDEX(Inputs!$E$49:$E$52,Inputs!$C$45),0)</f>
        <v>23119.999999999996</v>
      </c>
      <c r="AC9" s="12">
        <f>(AA9+AB9/2)*Inputs!$C$36</f>
        <v>9116.2624149999992</v>
      </c>
      <c r="AD9" s="12">
        <f t="shared" si="8"/>
        <v>160926.453415</v>
      </c>
      <c r="AE9" s="12">
        <f t="shared" si="16"/>
        <v>125667.38822375001</v>
      </c>
      <c r="AF9" s="12">
        <f>K9*(1-Rules!$C$18)-MAX(0,MIN(K9,P9+K9-Rules!$C$19))*Rules!$C$20</f>
        <v>11362.239</v>
      </c>
      <c r="AG9" s="12">
        <f>(AE9+AF9/2)*Inputs!$C$35</f>
        <v>9194.3955406625009</v>
      </c>
      <c r="AH9" s="12">
        <f>(AE9+AF9/2)*Inputs!$C$42</f>
        <v>1773.204854270625</v>
      </c>
      <c r="AI9" s="12">
        <f t="shared" si="9"/>
        <v>144450.81791014186</v>
      </c>
      <c r="AJ9" s="12">
        <f t="shared" si="17"/>
        <v>95158.574978000004</v>
      </c>
      <c r="AK9" s="12">
        <f>L9*(1-Rules!$C$18)-MAX(0,MIN(L9,Q9+L9-Rules!$C$19))*Rules!$C$20</f>
        <v>9522.6383999999998</v>
      </c>
      <c r="AL9" s="12">
        <f>(AJ9+AK9/2)*Inputs!$C$35</f>
        <v>6994.3925924600007</v>
      </c>
      <c r="AM9" s="12">
        <f>(AJ9+AK9/2)*Inputs!$C$42</f>
        <v>1348.918571403</v>
      </c>
      <c r="AN9" s="12">
        <f t="shared" si="10"/>
        <v>110326.687399057</v>
      </c>
      <c r="AO9" s="12">
        <f t="shared" si="11"/>
        <v>254777.50530919887</v>
      </c>
      <c r="AP9" s="12">
        <f t="shared" si="12"/>
        <v>-261966.48854275304</v>
      </c>
      <c r="AQ9" s="6" t="str">
        <f t="shared" si="13"/>
        <v>OK</v>
      </c>
    </row>
    <row r="10" spans="1:43" x14ac:dyDescent="0.25">
      <c r="A10" s="13">
        <v>4</v>
      </c>
      <c r="B10" s="13" t="s">
        <v>207</v>
      </c>
      <c r="C10" s="13">
        <f>Inputs!$C$7+A10-1</f>
        <v>41</v>
      </c>
      <c r="D10" s="13">
        <f>Inputs!$C$13+A10-1</f>
        <v>39</v>
      </c>
      <c r="E10" s="14">
        <f>Inputs!$C$8*(1+Inputs!$C$39)^(A10-1)</f>
        <v>114736.33500000001</v>
      </c>
      <c r="F10" s="14">
        <f>Inputs!$C$14*(1+Inputs!$C$39)^(A10-1)</f>
        <v>96159.975999999995</v>
      </c>
      <c r="G10" s="14">
        <f>INDEX(Inputs!$D$49:$D$52,Inputs!$C$45)*(1+Inputs!$C$39)^(A10-1)*E10/(E10+F10)</f>
        <v>0</v>
      </c>
      <c r="H10" s="14">
        <f>INDEX(Inputs!$D$49:$D$52,Inputs!$C$45)*(1+Inputs!$C$39)^(A10-1)*F10/(E10+F10)</f>
        <v>0</v>
      </c>
      <c r="I10" s="14">
        <f>MIN(E10,Rules!$C$16*(1+Inputs!$C$39)^(A10-1))*Rules!$C$15</f>
        <v>13768.360200000001</v>
      </c>
      <c r="J10" s="14">
        <f>MIN(F10,Rules!$C$16*(1+Inputs!$C$39)^(A10-1))*Rules!$C$15</f>
        <v>11539.197119999999</v>
      </c>
      <c r="K10" s="14">
        <f t="shared" si="0"/>
        <v>13768.360200000001</v>
      </c>
      <c r="L10" s="14">
        <f t="shared" si="1"/>
        <v>11539.197119999999</v>
      </c>
      <c r="M10" s="14">
        <f>Rules!$C$17*(1+Inputs!$C$39)^(A10-1)</f>
        <v>35513.627500000002</v>
      </c>
      <c r="N10" s="14">
        <f t="shared" si="2"/>
        <v>0</v>
      </c>
      <c r="O10" s="14">
        <f t="shared" si="3"/>
        <v>0</v>
      </c>
      <c r="P10" s="14">
        <f t="shared" si="4"/>
        <v>114736.33500000001</v>
      </c>
      <c r="Q10" s="14">
        <f t="shared" si="5"/>
        <v>96159.975999999995</v>
      </c>
      <c r="R10" s="14">
        <f>SUMPRODUCT(--(P10&gt;Rules!$B$7:$B$11),(P10-Rules!$B$7:$B$11),Rules!$E$7:$E$11)+P10*Rules!$C$14</f>
        <v>27235.627199999999</v>
      </c>
      <c r="S10" s="14">
        <f>SUMPRODUCT(--(Q10&gt;Rules!$B$7:$B$11),(Q10-Rules!$B$7:$B$11),Rules!$E$7:$E$11)+Q10*Rules!$C$14</f>
        <v>21291.192319999995</v>
      </c>
      <c r="T10" s="14">
        <f t="shared" si="6"/>
        <v>162369.49148</v>
      </c>
      <c r="U10" s="14">
        <f>Inputs!$C$20*(1+Inputs!$C$38)^(A10-1)</f>
        <v>103381.49999999999</v>
      </c>
      <c r="V10" s="14">
        <f t="shared" si="14"/>
        <v>677670.4472669519</v>
      </c>
      <c r="W10" s="14">
        <f>V10*Inputs!$C$26</f>
        <v>39982.556388750163</v>
      </c>
      <c r="X10" s="14">
        <f>IF(V10&lt;=0,0,MIN(Inputs!$C$28,V10+W10))</f>
        <v>55789.166988593286</v>
      </c>
      <c r="Y10" s="14">
        <f>IF(V10&lt;=0,0,MIN(INDEX(Inputs!$E$49:$E$52,Inputs!$C$45),MAX(0,V10+W10-X10)))</f>
        <v>0</v>
      </c>
      <c r="Z10" s="14">
        <f t="shared" si="7"/>
        <v>661863.83666710882</v>
      </c>
      <c r="AA10" s="14">
        <f t="shared" si="15"/>
        <v>160926.453415</v>
      </c>
      <c r="AB10" s="14">
        <f>INDEX(Inputs!$F$49:$F$52,Inputs!$C$45)+IF(V10&lt;=0,Inputs!$C$28+INDEX(Inputs!$E$49:$E$52,Inputs!$C$45),0)</f>
        <v>23119.999999999996</v>
      </c>
      <c r="AC10" s="14">
        <f>(AA10+AB10/2)*Inputs!$C$36</f>
        <v>11211.619471975</v>
      </c>
      <c r="AD10" s="14">
        <f t="shared" si="8"/>
        <v>195258.07288697499</v>
      </c>
      <c r="AE10" s="14">
        <f t="shared" si="16"/>
        <v>144450.81791014186</v>
      </c>
      <c r="AF10" s="14">
        <f>K10*(1-Rules!$C$18)-MAX(0,MIN(K10,P10+K10-Rules!$C$19))*Rules!$C$20</f>
        <v>11703.106170000001</v>
      </c>
      <c r="AG10" s="14">
        <f>(AE10+AF10/2)*Inputs!$C$35</f>
        <v>10521.165969659931</v>
      </c>
      <c r="AH10" s="14">
        <f>(AE10+AF10/2)*Inputs!$C$42</f>
        <v>2029.082008434415</v>
      </c>
      <c r="AI10" s="14">
        <f t="shared" si="9"/>
        <v>164646.0080413674</v>
      </c>
      <c r="AJ10" s="14">
        <f t="shared" si="17"/>
        <v>110326.687399057</v>
      </c>
      <c r="AK10" s="14">
        <f>L10*(1-Rules!$C$18)-MAX(0,MIN(L10,Q10+L10-Rules!$C$19))*Rules!$C$20</f>
        <v>9808.3175519999986</v>
      </c>
      <c r="AL10" s="14">
        <f>(AJ10+AK10/2)*Inputs!$C$35</f>
        <v>8066.1592322539909</v>
      </c>
      <c r="AM10" s="14">
        <f>(AJ10+AK10/2)*Inputs!$C$42</f>
        <v>1555.6164233632694</v>
      </c>
      <c r="AN10" s="14">
        <f t="shared" si="10"/>
        <v>126645.54775994772</v>
      </c>
      <c r="AO10" s="14">
        <f t="shared" si="11"/>
        <v>291291.55580131512</v>
      </c>
      <c r="AP10" s="14">
        <f t="shared" si="12"/>
        <v>-175314.20797881868</v>
      </c>
      <c r="AQ10" s="13" t="str">
        <f t="shared" si="13"/>
        <v>OK</v>
      </c>
    </row>
    <row r="11" spans="1:43" x14ac:dyDescent="0.25">
      <c r="A11" s="6">
        <v>5</v>
      </c>
      <c r="B11" s="6" t="s">
        <v>208</v>
      </c>
      <c r="C11" s="6">
        <f>Inputs!$C$7+A11-1</f>
        <v>42</v>
      </c>
      <c r="D11" s="6">
        <f>Inputs!$C$13+A11-1</f>
        <v>40</v>
      </c>
      <c r="E11" s="12">
        <f>Inputs!$C$8*(1+Inputs!$C$39)^(A11-1)</f>
        <v>118178.42504999999</v>
      </c>
      <c r="F11" s="12">
        <f>Inputs!$C$14*(1+Inputs!$C$39)^(A11-1)</f>
        <v>99044.775279999987</v>
      </c>
      <c r="G11" s="12">
        <f>INDEX(Inputs!$D$49:$D$52,Inputs!$C$45)*(1+Inputs!$C$39)^(A11-1)*E11/(E11+F11)</f>
        <v>0</v>
      </c>
      <c r="H11" s="12">
        <f>INDEX(Inputs!$D$49:$D$52,Inputs!$C$45)*(1+Inputs!$C$39)^(A11-1)*F11/(E11+F11)</f>
        <v>0</v>
      </c>
      <c r="I11" s="12">
        <f>MIN(E11,Rules!$C$16*(1+Inputs!$C$39)^(A11-1))*Rules!$C$15</f>
        <v>14181.411005999998</v>
      </c>
      <c r="J11" s="12">
        <f>MIN(F11,Rules!$C$16*(1+Inputs!$C$39)^(A11-1))*Rules!$C$15</f>
        <v>11885.373033599997</v>
      </c>
      <c r="K11" s="12">
        <f t="shared" si="0"/>
        <v>14181.411005999998</v>
      </c>
      <c r="L11" s="12">
        <f t="shared" si="1"/>
        <v>11885.373033599997</v>
      </c>
      <c r="M11" s="12">
        <f>Rules!$C$17*(1+Inputs!$C$39)^(A11-1)</f>
        <v>36579.036324999994</v>
      </c>
      <c r="N11" s="12">
        <f t="shared" si="2"/>
        <v>0</v>
      </c>
      <c r="O11" s="12">
        <f t="shared" si="3"/>
        <v>0</v>
      </c>
      <c r="P11" s="12">
        <f t="shared" si="4"/>
        <v>118178.42504999999</v>
      </c>
      <c r="Q11" s="12">
        <f t="shared" si="5"/>
        <v>99044.775279999987</v>
      </c>
      <c r="R11" s="12">
        <f>SUMPRODUCT(--(P11&gt;Rules!$B$7:$B$11),(P11-Rules!$B$7:$B$11),Rules!$E$7:$E$11)+P11*Rules!$C$14</f>
        <v>28337.096015999996</v>
      </c>
      <c r="S11" s="12">
        <f>SUMPRODUCT(--(Q11&gt;Rules!$B$7:$B$11),(Q11-Rules!$B$7:$B$11),Rules!$E$7:$E$11)+Q11*Rules!$C$14</f>
        <v>22214.328089599996</v>
      </c>
      <c r="T11" s="12">
        <f t="shared" si="6"/>
        <v>166671.77622439998</v>
      </c>
      <c r="U11" s="12">
        <f>Inputs!$C$20*(1+Inputs!$C$38)^(A11-1)</f>
        <v>105966.03749999998</v>
      </c>
      <c r="V11" s="12">
        <f t="shared" si="14"/>
        <v>661863.83666710882</v>
      </c>
      <c r="W11" s="12">
        <f>V11*Inputs!$C$26</f>
        <v>39049.966363359417</v>
      </c>
      <c r="X11" s="12">
        <f>IF(V11&lt;=0,0,MIN(Inputs!$C$28,V11+W11))</f>
        <v>55789.166988593286</v>
      </c>
      <c r="Y11" s="12">
        <f>IF(V11&lt;=0,0,MIN(INDEX(Inputs!$E$49:$E$52,Inputs!$C$45),MAX(0,V11+W11-X11)))</f>
        <v>0</v>
      </c>
      <c r="Z11" s="12">
        <f t="shared" si="7"/>
        <v>645124.636041875</v>
      </c>
      <c r="AA11" s="12">
        <f t="shared" si="15"/>
        <v>195258.07288697499</v>
      </c>
      <c r="AB11" s="12">
        <f>INDEX(Inputs!$F$49:$F$52,Inputs!$C$45)+IF(V11&lt;=0,Inputs!$C$28+INDEX(Inputs!$E$49:$E$52,Inputs!$C$45),0)</f>
        <v>23119.999999999996</v>
      </c>
      <c r="AC11" s="12">
        <f>(AA11+AB11/2)*Inputs!$C$36</f>
        <v>13443.174737653375</v>
      </c>
      <c r="AD11" s="12">
        <f t="shared" si="8"/>
        <v>231821.24762462836</v>
      </c>
      <c r="AE11" s="12">
        <f t="shared" si="16"/>
        <v>164646.0080413674</v>
      </c>
      <c r="AF11" s="12">
        <f>K11*(1-Rules!$C$18)-MAX(0,MIN(K11,P11+K11-Rules!$C$19))*Rules!$C$20</f>
        <v>12054.199355099998</v>
      </c>
      <c r="AG11" s="12">
        <f>(AE11+AF11/2)*Inputs!$C$35</f>
        <v>11947.11754032422</v>
      </c>
      <c r="AH11" s="12">
        <f>(AE11+AF11/2)*Inputs!$C$42</f>
        <v>2304.0869542053847</v>
      </c>
      <c r="AI11" s="12">
        <f t="shared" si="9"/>
        <v>186343.23798258623</v>
      </c>
      <c r="AJ11" s="12">
        <f t="shared" si="17"/>
        <v>126645.54775994772</v>
      </c>
      <c r="AK11" s="12">
        <f>L11*(1-Rules!$C$18)-MAX(0,MIN(L11,Q11+L11-Rules!$C$19))*Rules!$C$20</f>
        <v>10102.567078559998</v>
      </c>
      <c r="AL11" s="12">
        <f>(AJ11+AK11/2)*Inputs!$C$35</f>
        <v>9218.7781909459409</v>
      </c>
      <c r="AM11" s="12">
        <f>(AJ11+AK11/2)*Inputs!$C$42</f>
        <v>1777.9072225395741</v>
      </c>
      <c r="AN11" s="12">
        <f t="shared" si="10"/>
        <v>144188.9858069141</v>
      </c>
      <c r="AO11" s="12">
        <f t="shared" si="11"/>
        <v>330532.22378950031</v>
      </c>
      <c r="AP11" s="12">
        <f t="shared" si="12"/>
        <v>-82771.16462774633</v>
      </c>
      <c r="AQ11" s="6" t="str">
        <f t="shared" si="13"/>
        <v>OK</v>
      </c>
    </row>
    <row r="12" spans="1:43" x14ac:dyDescent="0.25">
      <c r="A12" s="13">
        <v>6</v>
      </c>
      <c r="B12" s="13" t="s">
        <v>209</v>
      </c>
      <c r="C12" s="13">
        <f>Inputs!$C$7+A12-1</f>
        <v>43</v>
      </c>
      <c r="D12" s="13">
        <f>Inputs!$C$13+A12-1</f>
        <v>41</v>
      </c>
      <c r="E12" s="14">
        <f>Inputs!$C$8*(1+Inputs!$C$39)^(A12-1)</f>
        <v>121723.77780149998</v>
      </c>
      <c r="F12" s="14">
        <f>Inputs!$C$14*(1+Inputs!$C$39)^(A12-1)</f>
        <v>102016.11853839998</v>
      </c>
      <c r="G12" s="14">
        <f>INDEX(Inputs!$D$49:$D$52,Inputs!$C$45)*(1+Inputs!$C$39)^(A12-1)*E12/(E12+F12)</f>
        <v>0</v>
      </c>
      <c r="H12" s="14">
        <f>INDEX(Inputs!$D$49:$D$52,Inputs!$C$45)*(1+Inputs!$C$39)^(A12-1)*F12/(E12+F12)</f>
        <v>0</v>
      </c>
      <c r="I12" s="14">
        <f>MIN(E12,Rules!$C$16*(1+Inputs!$C$39)^(A12-1))*Rules!$C$15</f>
        <v>14606.853336179996</v>
      </c>
      <c r="J12" s="14">
        <f>MIN(F12,Rules!$C$16*(1+Inputs!$C$39)^(A12-1))*Rules!$C$15</f>
        <v>12241.934224607998</v>
      </c>
      <c r="K12" s="14">
        <f t="shared" si="0"/>
        <v>14606.853336179996</v>
      </c>
      <c r="L12" s="14">
        <f t="shared" si="1"/>
        <v>12241.934224607998</v>
      </c>
      <c r="M12" s="14">
        <f>Rules!$C$17*(1+Inputs!$C$39)^(A12-1)</f>
        <v>37676.407414749992</v>
      </c>
      <c r="N12" s="14">
        <f t="shared" si="2"/>
        <v>0</v>
      </c>
      <c r="O12" s="14">
        <f t="shared" si="3"/>
        <v>0</v>
      </c>
      <c r="P12" s="14">
        <f t="shared" si="4"/>
        <v>121723.77780149998</v>
      </c>
      <c r="Q12" s="14">
        <f t="shared" si="5"/>
        <v>102016.11853839998</v>
      </c>
      <c r="R12" s="14">
        <f>SUMPRODUCT(--(P12&gt;Rules!$B$7:$B$11),(P12-Rules!$B$7:$B$11),Rules!$E$7:$E$11)+P12*Rules!$C$14</f>
        <v>29471.608896479993</v>
      </c>
      <c r="S12" s="14">
        <f>SUMPRODUCT(--(Q12&gt;Rules!$B$7:$B$11),(Q12-Rules!$B$7:$B$11),Rules!$E$7:$E$11)+Q12*Rules!$C$14</f>
        <v>23165.157932287995</v>
      </c>
      <c r="T12" s="14">
        <f t="shared" si="6"/>
        <v>171103.12951113196</v>
      </c>
      <c r="U12" s="14">
        <f>Inputs!$C$20*(1+Inputs!$C$38)^(A12-1)</f>
        <v>108615.18843749996</v>
      </c>
      <c r="V12" s="14">
        <f t="shared" si="14"/>
        <v>645124.636041875</v>
      </c>
      <c r="W12" s="14">
        <f>V12*Inputs!$C$26</f>
        <v>38062.353526470622</v>
      </c>
      <c r="X12" s="14">
        <f>IF(V12&lt;=0,0,MIN(Inputs!$C$28,V12+W12))</f>
        <v>55789.166988593286</v>
      </c>
      <c r="Y12" s="14">
        <f>IF(V12&lt;=0,0,MIN(INDEX(Inputs!$E$49:$E$52,Inputs!$C$45),MAX(0,V12+W12-X12)))</f>
        <v>0</v>
      </c>
      <c r="Z12" s="14">
        <f t="shared" si="7"/>
        <v>627397.8225797523</v>
      </c>
      <c r="AA12" s="14">
        <f t="shared" si="15"/>
        <v>231821.24762462836</v>
      </c>
      <c r="AB12" s="14">
        <f>INDEX(Inputs!$F$49:$F$52,Inputs!$C$45)+IF(V12&lt;=0,Inputs!$C$28+INDEX(Inputs!$E$49:$E$52,Inputs!$C$45),0)</f>
        <v>23119.999999999996</v>
      </c>
      <c r="AC12" s="14">
        <f>(AA12+AB12/2)*Inputs!$C$36</f>
        <v>15819.781095600843</v>
      </c>
      <c r="AD12" s="14">
        <f t="shared" si="8"/>
        <v>270761.02872022922</v>
      </c>
      <c r="AE12" s="14">
        <f t="shared" si="16"/>
        <v>186343.23798258623</v>
      </c>
      <c r="AF12" s="14">
        <f>K12*(1-Rules!$C$18)-MAX(0,MIN(K12,P12+K12-Rules!$C$19))*Rules!$C$20</f>
        <v>12415.825335752997</v>
      </c>
      <c r="AG12" s="14">
        <f>(AE12+AF12/2)*Inputs!$C$35</f>
        <v>13478.580545532392</v>
      </c>
      <c r="AH12" s="14">
        <f>(AE12+AF12/2)*Inputs!$C$42</f>
        <v>2599.4405337812468</v>
      </c>
      <c r="AI12" s="14">
        <f t="shared" si="9"/>
        <v>209638.20333009039</v>
      </c>
      <c r="AJ12" s="14">
        <f t="shared" si="17"/>
        <v>144188.9858069141</v>
      </c>
      <c r="AK12" s="14">
        <f>L12*(1-Rules!$C$18)-MAX(0,MIN(L12,Q12+L12-Rules!$C$19))*Rules!$C$20</f>
        <v>10405.644090916798</v>
      </c>
      <c r="AL12" s="14">
        <f>(AJ12+AK12/2)*Inputs!$C$35</f>
        <v>10457.426549666076</v>
      </c>
      <c r="AM12" s="14">
        <f>(AJ12+AK12/2)*Inputs!$C$42</f>
        <v>2016.7894060070287</v>
      </c>
      <c r="AN12" s="14">
        <f t="shared" si="10"/>
        <v>163035.26704148992</v>
      </c>
      <c r="AO12" s="14">
        <f t="shared" si="11"/>
        <v>372673.47037158033</v>
      </c>
      <c r="AP12" s="14">
        <f t="shared" si="12"/>
        <v>16036.676512057311</v>
      </c>
      <c r="AQ12" s="13" t="str">
        <f t="shared" si="13"/>
        <v>OK</v>
      </c>
    </row>
    <row r="13" spans="1:43" x14ac:dyDescent="0.25">
      <c r="A13" s="6">
        <v>7</v>
      </c>
      <c r="B13" s="6" t="s">
        <v>210</v>
      </c>
      <c r="C13" s="6">
        <f>Inputs!$C$7+A13-1</f>
        <v>44</v>
      </c>
      <c r="D13" s="6">
        <f>Inputs!$C$13+A13-1</f>
        <v>42</v>
      </c>
      <c r="E13" s="12">
        <f>Inputs!$C$8*(1+Inputs!$C$39)^(A13-1)</f>
        <v>125375.49113554499</v>
      </c>
      <c r="F13" s="12">
        <f>Inputs!$C$14*(1+Inputs!$C$39)^(A13-1)</f>
        <v>105076.602094552</v>
      </c>
      <c r="G13" s="12">
        <f>INDEX(Inputs!$D$49:$D$52,Inputs!$C$45)*(1+Inputs!$C$39)^(A13-1)*E13/(E13+F13)</f>
        <v>0</v>
      </c>
      <c r="H13" s="12">
        <f>INDEX(Inputs!$D$49:$D$52,Inputs!$C$45)*(1+Inputs!$C$39)^(A13-1)*F13/(E13+F13)</f>
        <v>0</v>
      </c>
      <c r="I13" s="12">
        <f>MIN(E13,Rules!$C$16*(1+Inputs!$C$39)^(A13-1))*Rules!$C$15</f>
        <v>15045.058936265397</v>
      </c>
      <c r="J13" s="12">
        <f>MIN(F13,Rules!$C$16*(1+Inputs!$C$39)^(A13-1))*Rules!$C$15</f>
        <v>12609.19225134624</v>
      </c>
      <c r="K13" s="12">
        <f t="shared" si="0"/>
        <v>15045.058936265397</v>
      </c>
      <c r="L13" s="12">
        <f t="shared" si="1"/>
        <v>12609.19225134624</v>
      </c>
      <c r="M13" s="12">
        <f>Rules!$C$17*(1+Inputs!$C$39)^(A13-1)</f>
        <v>38806.699637192498</v>
      </c>
      <c r="N13" s="12">
        <f t="shared" si="2"/>
        <v>0</v>
      </c>
      <c r="O13" s="12">
        <f t="shared" si="3"/>
        <v>0</v>
      </c>
      <c r="P13" s="12">
        <f t="shared" si="4"/>
        <v>125375.49113554499</v>
      </c>
      <c r="Q13" s="12">
        <f t="shared" si="5"/>
        <v>105076.602094552</v>
      </c>
      <c r="R13" s="12">
        <f>SUMPRODUCT(--(P13&gt;Rules!$B$7:$B$11),(P13-Rules!$B$7:$B$11),Rules!$E$7:$E$11)+P13*Rules!$C$14</f>
        <v>30640.157163374395</v>
      </c>
      <c r="S13" s="12">
        <f>SUMPRODUCT(--(Q13&gt;Rules!$B$7:$B$11),(Q13-Rules!$B$7:$B$11),Rules!$E$7:$E$11)+Q13*Rules!$C$14</f>
        <v>24144.512670256641</v>
      </c>
      <c r="T13" s="12">
        <f t="shared" si="6"/>
        <v>175667.42339646595</v>
      </c>
      <c r="U13" s="12">
        <f>Inputs!$C$20*(1+Inputs!$C$38)^(A13-1)</f>
        <v>111330.56814843745</v>
      </c>
      <c r="V13" s="12">
        <f t="shared" si="14"/>
        <v>627397.8225797523</v>
      </c>
      <c r="W13" s="12">
        <f>V13*Inputs!$C$26</f>
        <v>37016.471532205382</v>
      </c>
      <c r="X13" s="12">
        <f>IF(V13&lt;=0,0,MIN(Inputs!$C$28,V13+W13))</f>
        <v>55789.166988593286</v>
      </c>
      <c r="Y13" s="12">
        <f>IF(V13&lt;=0,0,MIN(INDEX(Inputs!$E$49:$E$52,Inputs!$C$45),MAX(0,V13+W13-X13)))</f>
        <v>0</v>
      </c>
      <c r="Z13" s="12">
        <f t="shared" si="7"/>
        <v>608625.12712336436</v>
      </c>
      <c r="AA13" s="12">
        <f t="shared" si="15"/>
        <v>270761.02872022922</v>
      </c>
      <c r="AB13" s="12">
        <f>INDEX(Inputs!$F$49:$F$52,Inputs!$C$45)+IF(V13&lt;=0,Inputs!$C$28+INDEX(Inputs!$E$49:$E$52,Inputs!$C$45),0)</f>
        <v>23119.999999999996</v>
      </c>
      <c r="AC13" s="12">
        <f>(AA13+AB13/2)*Inputs!$C$36</f>
        <v>18350.8668668149</v>
      </c>
      <c r="AD13" s="12">
        <f t="shared" si="8"/>
        <v>312231.89558704413</v>
      </c>
      <c r="AE13" s="12">
        <f t="shared" si="16"/>
        <v>209638.20333009039</v>
      </c>
      <c r="AF13" s="12">
        <f>K13*(1-Rules!$C$18)-MAX(0,MIN(K13,P13+K13-Rules!$C$19))*Rules!$C$20</f>
        <v>12788.300095825587</v>
      </c>
      <c r="AG13" s="12">
        <f>(AE13+AF13/2)*Inputs!$C$35</f>
        <v>15122.264736460224</v>
      </c>
      <c r="AH13" s="12">
        <f>(AE13+AF13/2)*Inputs!$C$42</f>
        <v>2916.436770603043</v>
      </c>
      <c r="AI13" s="12">
        <f t="shared" si="9"/>
        <v>234632.33139177316</v>
      </c>
      <c r="AJ13" s="12">
        <f t="shared" si="17"/>
        <v>163035.26704148992</v>
      </c>
      <c r="AK13" s="12">
        <f>L13*(1-Rules!$C$18)-MAX(0,MIN(L13,Q13+L13-Rules!$C$19))*Rules!$C$20</f>
        <v>10717.813413644304</v>
      </c>
      <c r="AL13" s="12">
        <f>(AJ13+AK13/2)*Inputs!$C$35</f>
        <v>11787.592162381847</v>
      </c>
      <c r="AM13" s="12">
        <f>(AJ13+AK13/2)*Inputs!$C$42</f>
        <v>2273.3213456022131</v>
      </c>
      <c r="AN13" s="12">
        <f t="shared" si="10"/>
        <v>183267.35127191385</v>
      </c>
      <c r="AO13" s="12">
        <f t="shared" si="11"/>
        <v>417899.68266368704</v>
      </c>
      <c r="AP13" s="12">
        <f t="shared" si="12"/>
        <v>121506.45112736674</v>
      </c>
      <c r="AQ13" s="6" t="str">
        <f t="shared" si="13"/>
        <v>OK</v>
      </c>
    </row>
    <row r="14" spans="1:43" x14ac:dyDescent="0.25">
      <c r="A14" s="13">
        <v>8</v>
      </c>
      <c r="B14" s="13" t="s">
        <v>211</v>
      </c>
      <c r="C14" s="13">
        <f>Inputs!$C$7+A14-1</f>
        <v>45</v>
      </c>
      <c r="D14" s="13">
        <f>Inputs!$C$13+A14-1</f>
        <v>43</v>
      </c>
      <c r="E14" s="14">
        <f>Inputs!$C$8*(1+Inputs!$C$39)^(A14-1)</f>
        <v>129136.75586961134</v>
      </c>
      <c r="F14" s="14">
        <f>Inputs!$C$14*(1+Inputs!$C$39)^(A14-1)</f>
        <v>108228.90015738856</v>
      </c>
      <c r="G14" s="14">
        <f>INDEX(Inputs!$D$49:$D$52,Inputs!$C$45)*(1+Inputs!$C$39)^(A14-1)*E14/(E14+F14)</f>
        <v>0</v>
      </c>
      <c r="H14" s="14">
        <f>INDEX(Inputs!$D$49:$D$52,Inputs!$C$45)*(1+Inputs!$C$39)^(A14-1)*F14/(E14+F14)</f>
        <v>0</v>
      </c>
      <c r="I14" s="14">
        <f>MIN(E14,Rules!$C$16*(1+Inputs!$C$39)^(A14-1))*Rules!$C$15</f>
        <v>15496.41070435336</v>
      </c>
      <c r="J14" s="14">
        <f>MIN(F14,Rules!$C$16*(1+Inputs!$C$39)^(A14-1))*Rules!$C$15</f>
        <v>12987.468018886628</v>
      </c>
      <c r="K14" s="14">
        <f t="shared" si="0"/>
        <v>15496.41070435336</v>
      </c>
      <c r="L14" s="14">
        <f t="shared" si="1"/>
        <v>12987.468018886628</v>
      </c>
      <c r="M14" s="14">
        <f>Rules!$C$17*(1+Inputs!$C$39)^(A14-1)</f>
        <v>39970.900626308277</v>
      </c>
      <c r="N14" s="14">
        <f t="shared" si="2"/>
        <v>0</v>
      </c>
      <c r="O14" s="14">
        <f t="shared" si="3"/>
        <v>0</v>
      </c>
      <c r="P14" s="14">
        <f t="shared" si="4"/>
        <v>129136.75586961134</v>
      </c>
      <c r="Q14" s="14">
        <f t="shared" si="5"/>
        <v>108228.90015738856</v>
      </c>
      <c r="R14" s="14">
        <f>SUMPRODUCT(--(P14&gt;Rules!$B$7:$B$11),(P14-Rules!$B$7:$B$11),Rules!$E$7:$E$11)+P14*Rules!$C$14</f>
        <v>31843.761878275633</v>
      </c>
      <c r="S14" s="14">
        <f>SUMPRODUCT(--(Q14&gt;Rules!$B$7:$B$11),(Q14-Rules!$B$7:$B$11),Rules!$E$7:$E$11)+Q14*Rules!$C$14</f>
        <v>25153.248050364338</v>
      </c>
      <c r="T14" s="14">
        <f t="shared" si="6"/>
        <v>180368.64609835992</v>
      </c>
      <c r="U14" s="14">
        <f>Inputs!$C$20*(1+Inputs!$C$38)^(A14-1)</f>
        <v>114113.8323521484</v>
      </c>
      <c r="V14" s="14">
        <f t="shared" si="14"/>
        <v>608625.12712336436</v>
      </c>
      <c r="W14" s="14">
        <f>V14*Inputs!$C$26</f>
        <v>35908.882500278494</v>
      </c>
      <c r="X14" s="14">
        <f>IF(V14&lt;=0,0,MIN(Inputs!$C$28,V14+W14))</f>
        <v>55789.166988593286</v>
      </c>
      <c r="Y14" s="14">
        <f>IF(V14&lt;=0,0,MIN(INDEX(Inputs!$E$49:$E$52,Inputs!$C$45),MAX(0,V14+W14-X14)))</f>
        <v>0</v>
      </c>
      <c r="Z14" s="14">
        <f t="shared" si="7"/>
        <v>588744.8426350496</v>
      </c>
      <c r="AA14" s="14">
        <f t="shared" si="15"/>
        <v>312231.89558704413</v>
      </c>
      <c r="AB14" s="14">
        <f>INDEX(Inputs!$F$49:$F$52,Inputs!$C$45)+IF(V14&lt;=0,Inputs!$C$28+INDEX(Inputs!$E$49:$E$52,Inputs!$C$45),0)</f>
        <v>23119.999999999996</v>
      </c>
      <c r="AC14" s="14">
        <f>(AA14+AB14/2)*Inputs!$C$36</f>
        <v>21046.473213157868</v>
      </c>
      <c r="AD14" s="14">
        <f t="shared" si="8"/>
        <v>356398.36880020198</v>
      </c>
      <c r="AE14" s="14">
        <f t="shared" si="16"/>
        <v>234632.33139177316</v>
      </c>
      <c r="AF14" s="14">
        <f>K14*(1-Rules!$C$18)-MAX(0,MIN(K14,P14+K14-Rules!$C$19))*Rules!$C$20</f>
        <v>13171.949098700356</v>
      </c>
      <c r="AG14" s="14">
        <f>(AE14+AF14/2)*Inputs!$C$35</f>
        <v>16885.281415878635</v>
      </c>
      <c r="AH14" s="14">
        <f>(AE14+AF14/2)*Inputs!$C$42</f>
        <v>3256.4471302051652</v>
      </c>
      <c r="AI14" s="14">
        <f t="shared" si="9"/>
        <v>261433.11477614701</v>
      </c>
      <c r="AJ14" s="14">
        <f t="shared" si="17"/>
        <v>183267.35127191385</v>
      </c>
      <c r="AK14" s="14">
        <f>L14*(1-Rules!$C$18)-MAX(0,MIN(L14,Q14+L14-Rules!$C$19))*Rules!$C$20</f>
        <v>11039.347816053632</v>
      </c>
      <c r="AL14" s="14">
        <f>(AJ14+AK14/2)*Inputs!$C$35</f>
        <v>13215.091762595848</v>
      </c>
      <c r="AM14" s="14">
        <f>(AJ14+AK14/2)*Inputs!$C$42</f>
        <v>2548.624839929199</v>
      </c>
      <c r="AN14" s="14">
        <f t="shared" si="10"/>
        <v>204973.16601063413</v>
      </c>
      <c r="AO14" s="14">
        <f t="shared" si="11"/>
        <v>466406.28078678111</v>
      </c>
      <c r="AP14" s="14">
        <f t="shared" si="12"/>
        <v>234059.80695193342</v>
      </c>
      <c r="AQ14" s="13" t="str">
        <f t="shared" si="13"/>
        <v>OK</v>
      </c>
    </row>
    <row r="15" spans="1:43" x14ac:dyDescent="0.25">
      <c r="A15" s="6">
        <v>9</v>
      </c>
      <c r="B15" s="6" t="s">
        <v>212</v>
      </c>
      <c r="C15" s="6">
        <f>Inputs!$C$7+A15-1</f>
        <v>46</v>
      </c>
      <c r="D15" s="6">
        <f>Inputs!$C$13+A15-1</f>
        <v>44</v>
      </c>
      <c r="E15" s="12">
        <f>Inputs!$C$8*(1+Inputs!$C$39)^(A15-1)</f>
        <v>133010.85854569968</v>
      </c>
      <c r="F15" s="12">
        <f>Inputs!$C$14*(1+Inputs!$C$39)^(A15-1)</f>
        <v>111475.76716211021</v>
      </c>
      <c r="G15" s="12">
        <f>INDEX(Inputs!$D$49:$D$52,Inputs!$C$45)*(1+Inputs!$C$39)^(A15-1)*E15/(E15+F15)</f>
        <v>0</v>
      </c>
      <c r="H15" s="12">
        <f>INDEX(Inputs!$D$49:$D$52,Inputs!$C$45)*(1+Inputs!$C$39)^(A15-1)*F15/(E15+F15)</f>
        <v>0</v>
      </c>
      <c r="I15" s="12">
        <f>MIN(E15,Rules!$C$16*(1+Inputs!$C$39)^(A15-1))*Rules!$C$15</f>
        <v>15961.303025483961</v>
      </c>
      <c r="J15" s="12">
        <f>MIN(F15,Rules!$C$16*(1+Inputs!$C$39)^(A15-1))*Rules!$C$15</f>
        <v>13377.092059453224</v>
      </c>
      <c r="K15" s="12">
        <f t="shared" si="0"/>
        <v>15961.303025483961</v>
      </c>
      <c r="L15" s="12">
        <f t="shared" si="1"/>
        <v>13377.092059453224</v>
      </c>
      <c r="M15" s="12">
        <f>Rules!$C$17*(1+Inputs!$C$39)^(A15-1)</f>
        <v>41170.027645097514</v>
      </c>
      <c r="N15" s="12">
        <f t="shared" si="2"/>
        <v>0</v>
      </c>
      <c r="O15" s="12">
        <f t="shared" si="3"/>
        <v>0</v>
      </c>
      <c r="P15" s="12">
        <f t="shared" si="4"/>
        <v>133010.85854569968</v>
      </c>
      <c r="Q15" s="12">
        <f t="shared" si="5"/>
        <v>111475.76716211021</v>
      </c>
      <c r="R15" s="12">
        <f>SUMPRODUCT(--(P15&gt;Rules!$B$7:$B$11),(P15-Rules!$B$7:$B$11),Rules!$E$7:$E$11)+P15*Rules!$C$14</f>
        <v>33083.474734623895</v>
      </c>
      <c r="S15" s="12">
        <f>SUMPRODUCT(--(Q15&gt;Rules!$B$7:$B$11),(Q15-Rules!$B$7:$B$11),Rules!$E$7:$E$11)+Q15*Rules!$C$14</f>
        <v>26192.245491875266</v>
      </c>
      <c r="T15" s="12">
        <f t="shared" si="6"/>
        <v>185210.90548131074</v>
      </c>
      <c r="U15" s="12">
        <f>Inputs!$C$20*(1+Inputs!$C$38)^(A15-1)</f>
        <v>116966.6781609521</v>
      </c>
      <c r="V15" s="12">
        <f t="shared" si="14"/>
        <v>588744.8426350496</v>
      </c>
      <c r="W15" s="12">
        <f>V15*Inputs!$C$26</f>
        <v>34735.945715467926</v>
      </c>
      <c r="X15" s="12">
        <f>IF(V15&lt;=0,0,MIN(Inputs!$C$28,V15+W15))</f>
        <v>55789.166988593286</v>
      </c>
      <c r="Y15" s="12">
        <f>IF(V15&lt;=0,0,MIN(INDEX(Inputs!$E$49:$E$52,Inputs!$C$45),MAX(0,V15+W15-X15)))</f>
        <v>0</v>
      </c>
      <c r="Z15" s="12">
        <f t="shared" si="7"/>
        <v>567691.62136192422</v>
      </c>
      <c r="AA15" s="12">
        <f t="shared" si="15"/>
        <v>356398.36880020198</v>
      </c>
      <c r="AB15" s="12">
        <f>INDEX(Inputs!$F$49:$F$52,Inputs!$C$45)+IF(V15&lt;=0,Inputs!$C$28+INDEX(Inputs!$E$49:$E$52,Inputs!$C$45),0)</f>
        <v>23119.999999999996</v>
      </c>
      <c r="AC15" s="12">
        <f>(AA15+AB15/2)*Inputs!$C$36</f>
        <v>23917.293972013129</v>
      </c>
      <c r="AD15" s="12">
        <f t="shared" si="8"/>
        <v>403435.66277221509</v>
      </c>
      <c r="AE15" s="12">
        <f t="shared" si="16"/>
        <v>261433.11477614701</v>
      </c>
      <c r="AF15" s="12">
        <f>K15*(1-Rules!$C$18)-MAX(0,MIN(K15,P15+K15-Rules!$C$19))*Rules!$C$20</f>
        <v>13567.107571661367</v>
      </c>
      <c r="AG15" s="12">
        <f>(AE15+AF15/2)*Inputs!$C$35</f>
        <v>18775.16679933844</v>
      </c>
      <c r="AH15" s="12">
        <f>(AE15+AF15/2)*Inputs!$C$42</f>
        <v>3620.9250255866987</v>
      </c>
      <c r="AI15" s="12">
        <f t="shared" si="9"/>
        <v>290154.4641215601</v>
      </c>
      <c r="AJ15" s="12">
        <f t="shared" si="17"/>
        <v>204973.16601063413</v>
      </c>
      <c r="AK15" s="12">
        <f>L15*(1-Rules!$C$18)-MAX(0,MIN(L15,Q15+L15-Rules!$C$19))*Rules!$C$20</f>
        <v>11370.528250535239</v>
      </c>
      <c r="AL15" s="12">
        <f>(AJ15+AK15/2)*Inputs!$C$35</f>
        <v>14746.090109513125</v>
      </c>
      <c r="AM15" s="12">
        <f>(AJ15+AK15/2)*Inputs!$C$42</f>
        <v>2843.8888068346737</v>
      </c>
      <c r="AN15" s="12">
        <f t="shared" si="10"/>
        <v>228245.89556384782</v>
      </c>
      <c r="AO15" s="12">
        <f t="shared" si="11"/>
        <v>518400.35968540795</v>
      </c>
      <c r="AP15" s="12">
        <f t="shared" si="12"/>
        <v>354144.40109569882</v>
      </c>
      <c r="AQ15" s="6" t="str">
        <f t="shared" si="13"/>
        <v>OK</v>
      </c>
    </row>
    <row r="16" spans="1:43" x14ac:dyDescent="0.25">
      <c r="A16" s="13">
        <v>10</v>
      </c>
      <c r="B16" s="13" t="s">
        <v>213</v>
      </c>
      <c r="C16" s="13">
        <f>Inputs!$C$7+A16-1</f>
        <v>47</v>
      </c>
      <c r="D16" s="13">
        <f>Inputs!$C$13+A16-1</f>
        <v>45</v>
      </c>
      <c r="E16" s="14">
        <f>Inputs!$C$8*(1+Inputs!$C$39)^(A16-1)</f>
        <v>137001.18430207067</v>
      </c>
      <c r="F16" s="14">
        <f>Inputs!$C$14*(1+Inputs!$C$39)^(A16-1)</f>
        <v>114820.04017697352</v>
      </c>
      <c r="G16" s="14">
        <f>INDEX(Inputs!$D$49:$D$52,Inputs!$C$45)*(1+Inputs!$C$39)^(A16-1)*E16/(E16+F16)</f>
        <v>0</v>
      </c>
      <c r="H16" s="14">
        <f>INDEX(Inputs!$D$49:$D$52,Inputs!$C$45)*(1+Inputs!$C$39)^(A16-1)*F16/(E16+F16)</f>
        <v>0</v>
      </c>
      <c r="I16" s="14">
        <f>MIN(E16,Rules!$C$16*(1+Inputs!$C$39)^(A16-1))*Rules!$C$15</f>
        <v>16440.14211624848</v>
      </c>
      <c r="J16" s="14">
        <f>MIN(F16,Rules!$C$16*(1+Inputs!$C$39)^(A16-1))*Rules!$C$15</f>
        <v>13778.404821236822</v>
      </c>
      <c r="K16" s="14">
        <f t="shared" si="0"/>
        <v>16440.14211624848</v>
      </c>
      <c r="L16" s="14">
        <f t="shared" si="1"/>
        <v>13778.404821236822</v>
      </c>
      <c r="M16" s="14">
        <f>Rules!$C$17*(1+Inputs!$C$39)^(A16-1)</f>
        <v>42405.128474450445</v>
      </c>
      <c r="N16" s="14">
        <f t="shared" si="2"/>
        <v>0</v>
      </c>
      <c r="O16" s="14">
        <f t="shared" si="3"/>
        <v>0</v>
      </c>
      <c r="P16" s="14">
        <f t="shared" si="4"/>
        <v>137001.18430207067</v>
      </c>
      <c r="Q16" s="14">
        <f t="shared" si="5"/>
        <v>114820.04017697352</v>
      </c>
      <c r="R16" s="14">
        <f>SUMPRODUCT(--(P16&gt;Rules!$B$7:$B$11),(P16-Rules!$B$7:$B$11),Rules!$E$7:$E$11)+P16*Rules!$C$14</f>
        <v>34500.46187780756</v>
      </c>
      <c r="S16" s="14">
        <f>SUMPRODUCT(--(Q16&gt;Rules!$B$7:$B$11),(Q16-Rules!$B$7:$B$11),Rules!$E$7:$E$11)+Q16*Rules!$C$14</f>
        <v>27262.412856631523</v>
      </c>
      <c r="T16" s="14">
        <f t="shared" si="6"/>
        <v>190058.3497446051</v>
      </c>
      <c r="U16" s="14">
        <f>Inputs!$C$20*(1+Inputs!$C$38)^(A16-1)</f>
        <v>119890.84511497588</v>
      </c>
      <c r="V16" s="14">
        <f t="shared" si="14"/>
        <v>567691.62136192422</v>
      </c>
      <c r="W16" s="14">
        <f>V16*Inputs!$C$26</f>
        <v>33493.80566035353</v>
      </c>
      <c r="X16" s="14">
        <f>IF(V16&lt;=0,0,MIN(Inputs!$C$28,V16+W16))</f>
        <v>55789.166988593286</v>
      </c>
      <c r="Y16" s="14">
        <f>IF(V16&lt;=0,0,MIN(INDEX(Inputs!$E$49:$E$52,Inputs!$C$45),MAX(0,V16+W16-X16)))</f>
        <v>0</v>
      </c>
      <c r="Z16" s="14">
        <f t="shared" si="7"/>
        <v>545396.26003368443</v>
      </c>
      <c r="AA16" s="14">
        <f t="shared" si="15"/>
        <v>403435.66277221509</v>
      </c>
      <c r="AB16" s="14">
        <f>INDEX(Inputs!$F$49:$F$52,Inputs!$C$45)+IF(V16&lt;=0,Inputs!$C$28+INDEX(Inputs!$E$49:$E$52,Inputs!$C$45),0)</f>
        <v>23119.999999999996</v>
      </c>
      <c r="AC16" s="14">
        <f>(AA16+AB16/2)*Inputs!$C$36</f>
        <v>26974.718080193983</v>
      </c>
      <c r="AD16" s="14">
        <f t="shared" si="8"/>
        <v>453530.38085240906</v>
      </c>
      <c r="AE16" s="14">
        <f t="shared" si="16"/>
        <v>290154.4641215601</v>
      </c>
      <c r="AF16" s="14">
        <f>K16*(1-Rules!$C$18)-MAX(0,MIN(K16,P16+K16-Rules!$C$19))*Rules!$C$20</f>
        <v>13974.120798811207</v>
      </c>
      <c r="AG16" s="14">
        <f>(AE16+AF16/2)*Inputs!$C$35</f>
        <v>20799.906716467602</v>
      </c>
      <c r="AH16" s="14">
        <f>(AE16+AF16/2)*Inputs!$C$42</f>
        <v>4011.410581033037</v>
      </c>
      <c r="AI16" s="14">
        <f t="shared" si="9"/>
        <v>320917.08105580584</v>
      </c>
      <c r="AJ16" s="14">
        <f t="shared" si="17"/>
        <v>228245.89556384782</v>
      </c>
      <c r="AK16" s="14">
        <f>L16*(1-Rules!$C$18)-MAX(0,MIN(L16,Q16+L16-Rules!$C$19))*Rules!$C$20</f>
        <v>11711.644098051298</v>
      </c>
      <c r="AL16" s="14">
        <f>(AJ16+AK16/2)*Inputs!$C$35</f>
        <v>16387.120232901143</v>
      </c>
      <c r="AM16" s="14">
        <f>(AJ16+AK16/2)*Inputs!$C$42</f>
        <v>3160.3731877737919</v>
      </c>
      <c r="AN16" s="14">
        <f t="shared" si="10"/>
        <v>253184.28670702648</v>
      </c>
      <c r="AO16" s="14">
        <f t="shared" si="11"/>
        <v>574101.36776283232</v>
      </c>
      <c r="AP16" s="14">
        <f t="shared" si="12"/>
        <v>482235.48858155694</v>
      </c>
      <c r="AQ16" s="13" t="str">
        <f t="shared" si="13"/>
        <v>OK</v>
      </c>
    </row>
    <row r="17" spans="1:43" x14ac:dyDescent="0.25">
      <c r="A17" s="6">
        <v>11</v>
      </c>
      <c r="B17" s="6" t="s">
        <v>214</v>
      </c>
      <c r="C17" s="6">
        <f>Inputs!$C$7+A17-1</f>
        <v>48</v>
      </c>
      <c r="D17" s="6">
        <f>Inputs!$C$13+A17-1</f>
        <v>46</v>
      </c>
      <c r="E17" s="12">
        <f>Inputs!$C$8*(1+Inputs!$C$39)^(A17-1)</f>
        <v>141111.2198311328</v>
      </c>
      <c r="F17" s="12">
        <f>Inputs!$C$14*(1+Inputs!$C$39)^(A17-1)</f>
        <v>118264.64138228272</v>
      </c>
      <c r="G17" s="12">
        <f>INDEX(Inputs!$D$49:$D$52,Inputs!$C$45)*(1+Inputs!$C$39)^(A17-1)*E17/(E17+F17)</f>
        <v>0</v>
      </c>
      <c r="H17" s="12">
        <f>INDEX(Inputs!$D$49:$D$52,Inputs!$C$45)*(1+Inputs!$C$39)^(A17-1)*F17/(E17+F17)</f>
        <v>0</v>
      </c>
      <c r="I17" s="12">
        <f>MIN(E17,Rules!$C$16*(1+Inputs!$C$39)^(A17-1))*Rules!$C$15</f>
        <v>16933.346379735936</v>
      </c>
      <c r="J17" s="12">
        <f>MIN(F17,Rules!$C$16*(1+Inputs!$C$39)^(A17-1))*Rules!$C$15</f>
        <v>14191.756965873925</v>
      </c>
      <c r="K17" s="12">
        <f t="shared" si="0"/>
        <v>16933.346379735936</v>
      </c>
      <c r="L17" s="12">
        <f t="shared" si="1"/>
        <v>14191.756965873925</v>
      </c>
      <c r="M17" s="12">
        <f>Rules!$C$17*(1+Inputs!$C$39)^(A17-1)</f>
        <v>43677.282328683956</v>
      </c>
      <c r="N17" s="12">
        <f t="shared" si="2"/>
        <v>0</v>
      </c>
      <c r="O17" s="12">
        <f t="shared" si="3"/>
        <v>0</v>
      </c>
      <c r="P17" s="12">
        <f t="shared" si="4"/>
        <v>141111.2198311328</v>
      </c>
      <c r="Q17" s="12">
        <f t="shared" si="5"/>
        <v>118264.64138228272</v>
      </c>
      <c r="R17" s="12">
        <f>SUMPRODUCT(--(P17&gt;Rules!$B$7:$B$11),(P17-Rules!$B$7:$B$11),Rules!$E$7:$E$11)+P17*Rules!$C$14</f>
        <v>36103.375734141795</v>
      </c>
      <c r="S17" s="12">
        <f>SUMPRODUCT(--(Q17&gt;Rules!$B$7:$B$11),(Q17-Rules!$B$7:$B$11),Rules!$E$7:$E$11)+Q17*Rules!$C$14</f>
        <v>28364.68524233047</v>
      </c>
      <c r="T17" s="12">
        <f t="shared" si="6"/>
        <v>194907.80023694324</v>
      </c>
      <c r="U17" s="12">
        <f>Inputs!$C$20*(1+Inputs!$C$38)^(A17-1)</f>
        <v>122888.11624285029</v>
      </c>
      <c r="V17" s="12">
        <f t="shared" si="14"/>
        <v>545396.26003368443</v>
      </c>
      <c r="W17" s="12">
        <f>V17*Inputs!$C$26</f>
        <v>32178.37934198738</v>
      </c>
      <c r="X17" s="12">
        <f>IF(V17&lt;=0,0,MIN(Inputs!$C$28,V17+W17))</f>
        <v>55789.166988593286</v>
      </c>
      <c r="Y17" s="12">
        <f>IF(V17&lt;=0,0,MIN(INDEX(Inputs!$E$49:$E$52,Inputs!$C$45),MAX(0,V17+W17-X17)))</f>
        <v>0</v>
      </c>
      <c r="Z17" s="12">
        <f t="shared" si="7"/>
        <v>521785.47238707857</v>
      </c>
      <c r="AA17" s="12">
        <f t="shared" si="15"/>
        <v>453530.38085240906</v>
      </c>
      <c r="AB17" s="12">
        <f>INDEX(Inputs!$F$49:$F$52,Inputs!$C$45)+IF(V17&lt;=0,Inputs!$C$28+INDEX(Inputs!$E$49:$E$52,Inputs!$C$45),0)</f>
        <v>23119.999999999996</v>
      </c>
      <c r="AC17" s="12">
        <f>(AA17+AB17/2)*Inputs!$C$36</f>
        <v>30230.874755406589</v>
      </c>
      <c r="AD17" s="12">
        <f t="shared" si="8"/>
        <v>506881.25560781563</v>
      </c>
      <c r="AE17" s="12">
        <f t="shared" si="16"/>
        <v>320917.08105580584</v>
      </c>
      <c r="AF17" s="12">
        <f>K17*(1-Rules!$C$18)-MAX(0,MIN(K17,P17+K17-Rules!$C$19))*Rules!$C$20</f>
        <v>14393.344422775546</v>
      </c>
      <c r="AG17" s="12">
        <f>(AE17+AF17/2)*Inputs!$C$35</f>
        <v>22967.962728703555</v>
      </c>
      <c r="AH17" s="12">
        <f>(AE17+AF17/2)*Inputs!$C$42</f>
        <v>4429.5356691071138</v>
      </c>
      <c r="AI17" s="12">
        <f t="shared" si="9"/>
        <v>353848.85253817786</v>
      </c>
      <c r="AJ17" s="12">
        <f t="shared" si="17"/>
        <v>253184.28670702648</v>
      </c>
      <c r="AK17" s="12">
        <f>L17*(1-Rules!$C$18)-MAX(0,MIN(L17,Q17+L17-Rules!$C$19))*Rules!$C$20</f>
        <v>12062.993420992836</v>
      </c>
      <c r="AL17" s="12">
        <f>(AJ17+AK17/2)*Inputs!$C$35</f>
        <v>18145.104839226606</v>
      </c>
      <c r="AM17" s="12">
        <f>(AJ17+AK17/2)*Inputs!$C$42</f>
        <v>3499.4130761365591</v>
      </c>
      <c r="AN17" s="12">
        <f t="shared" si="10"/>
        <v>279892.97189110937</v>
      </c>
      <c r="AO17" s="12">
        <f t="shared" si="11"/>
        <v>633741.82442928723</v>
      </c>
      <c r="AP17" s="12">
        <f t="shared" si="12"/>
        <v>618837.60765002423</v>
      </c>
      <c r="AQ17" s="6" t="str">
        <f t="shared" si="13"/>
        <v>OK</v>
      </c>
    </row>
    <row r="18" spans="1:43" x14ac:dyDescent="0.25">
      <c r="A18" s="13">
        <v>12</v>
      </c>
      <c r="B18" s="13" t="s">
        <v>215</v>
      </c>
      <c r="C18" s="13">
        <f>Inputs!$C$7+A18-1</f>
        <v>49</v>
      </c>
      <c r="D18" s="13">
        <f>Inputs!$C$13+A18-1</f>
        <v>47</v>
      </c>
      <c r="E18" s="14">
        <f>Inputs!$C$8*(1+Inputs!$C$39)^(A18-1)</f>
        <v>145344.55642606679</v>
      </c>
      <c r="F18" s="14">
        <f>Inputs!$C$14*(1+Inputs!$C$39)^(A18-1)</f>
        <v>121812.5806237512</v>
      </c>
      <c r="G18" s="14">
        <f>INDEX(Inputs!$D$49:$D$52,Inputs!$C$45)*(1+Inputs!$C$39)^(A18-1)*E18/(E18+F18)</f>
        <v>0</v>
      </c>
      <c r="H18" s="14">
        <f>INDEX(Inputs!$D$49:$D$52,Inputs!$C$45)*(1+Inputs!$C$39)^(A18-1)*F18/(E18+F18)</f>
        <v>0</v>
      </c>
      <c r="I18" s="14">
        <f>MIN(E18,Rules!$C$16*(1+Inputs!$C$39)^(A18-1))*Rules!$C$15</f>
        <v>17441.346771128014</v>
      </c>
      <c r="J18" s="14">
        <f>MIN(F18,Rules!$C$16*(1+Inputs!$C$39)^(A18-1))*Rules!$C$15</f>
        <v>14617.509674850144</v>
      </c>
      <c r="K18" s="14">
        <f t="shared" si="0"/>
        <v>17441.346771128014</v>
      </c>
      <c r="L18" s="14">
        <f t="shared" si="1"/>
        <v>14617.509674850144</v>
      </c>
      <c r="M18" s="14">
        <f>Rules!$C$17*(1+Inputs!$C$39)^(A18-1)</f>
        <v>44987.600798544481</v>
      </c>
      <c r="N18" s="14">
        <f t="shared" si="2"/>
        <v>0</v>
      </c>
      <c r="O18" s="14">
        <f t="shared" si="3"/>
        <v>0</v>
      </c>
      <c r="P18" s="14">
        <f t="shared" si="4"/>
        <v>145344.55642606679</v>
      </c>
      <c r="Q18" s="14">
        <f t="shared" si="5"/>
        <v>121812.5806237512</v>
      </c>
      <c r="R18" s="14">
        <f>SUMPRODUCT(--(P18&gt;Rules!$B$7:$B$11),(P18-Rules!$B$7:$B$11),Rules!$E$7:$E$11)+P18*Rules!$C$14</f>
        <v>37754.37700616604</v>
      </c>
      <c r="S18" s="14">
        <f>SUMPRODUCT(--(Q18&gt;Rules!$B$7:$B$11),(Q18-Rules!$B$7:$B$11),Rules!$E$7:$E$11)+Q18*Rules!$C$14</f>
        <v>29500.025799600386</v>
      </c>
      <c r="T18" s="14">
        <f t="shared" si="6"/>
        <v>199902.73424405156</v>
      </c>
      <c r="U18" s="14">
        <f>Inputs!$C$20*(1+Inputs!$C$38)^(A18-1)</f>
        <v>125960.31914892154</v>
      </c>
      <c r="V18" s="14">
        <f t="shared" si="14"/>
        <v>521785.47238707857</v>
      </c>
      <c r="W18" s="14">
        <f>V18*Inputs!$C$26</f>
        <v>30785.342870837634</v>
      </c>
      <c r="X18" s="14">
        <f>IF(V18&lt;=0,0,MIN(Inputs!$C$28,V18+W18))</f>
        <v>55789.166988593286</v>
      </c>
      <c r="Y18" s="14">
        <f>IF(V18&lt;=0,0,MIN(INDEX(Inputs!$E$49:$E$52,Inputs!$C$45),MAX(0,V18+W18-X18)))</f>
        <v>0</v>
      </c>
      <c r="Z18" s="14">
        <f t="shared" si="7"/>
        <v>496781.64826932293</v>
      </c>
      <c r="AA18" s="14">
        <f t="shared" si="15"/>
        <v>506881.25560781563</v>
      </c>
      <c r="AB18" s="14">
        <f>INDEX(Inputs!$F$49:$F$52,Inputs!$C$45)+IF(V18&lt;=0,Inputs!$C$28+INDEX(Inputs!$E$49:$E$52,Inputs!$C$45),0)</f>
        <v>23119.999999999996</v>
      </c>
      <c r="AC18" s="14">
        <f>(AA18+AB18/2)*Inputs!$C$36</f>
        <v>33698.681614508016</v>
      </c>
      <c r="AD18" s="14">
        <f t="shared" si="8"/>
        <v>563699.93722232361</v>
      </c>
      <c r="AE18" s="14">
        <f t="shared" si="16"/>
        <v>353848.85253817786</v>
      </c>
      <c r="AF18" s="14">
        <f>K18*(1-Rules!$C$18)-MAX(0,MIN(K18,P18+K18-Rules!$C$19))*Rules!$C$20</f>
        <v>14825.14475545881</v>
      </c>
      <c r="AG18" s="14">
        <f>(AE18+AF18/2)*Inputs!$C$35</f>
        <v>25288.299744113512</v>
      </c>
      <c r="AH18" s="14">
        <f>(AE18+AF18/2)*Inputs!$C$42</f>
        <v>4877.0292363647477</v>
      </c>
      <c r="AI18" s="14">
        <f t="shared" si="9"/>
        <v>389085.26780138543</v>
      </c>
      <c r="AJ18" s="14">
        <f t="shared" si="17"/>
        <v>279892.97189110937</v>
      </c>
      <c r="AK18" s="14">
        <f>L18*(1-Rules!$C$18)-MAX(0,MIN(L18,Q18+L18-Rules!$C$19))*Rules!$C$20</f>
        <v>12424.883223622623</v>
      </c>
      <c r="AL18" s="14">
        <f>(AJ18+AK18/2)*Inputs!$C$35</f>
        <v>20027.378945204448</v>
      </c>
      <c r="AM18" s="14">
        <f>(AJ18+AK18/2)*Inputs!$C$42</f>
        <v>3862.4230822894287</v>
      </c>
      <c r="AN18" s="14">
        <f t="shared" si="10"/>
        <v>308482.81097764702</v>
      </c>
      <c r="AO18" s="14">
        <f t="shared" si="11"/>
        <v>697568.07877903245</v>
      </c>
      <c r="AP18" s="14">
        <f t="shared" si="12"/>
        <v>764486.36773203313</v>
      </c>
      <c r="AQ18" s="13" t="str">
        <f t="shared" si="13"/>
        <v>OK</v>
      </c>
    </row>
    <row r="19" spans="1:43" x14ac:dyDescent="0.25">
      <c r="A19" s="6">
        <v>13</v>
      </c>
      <c r="B19" s="6" t="s">
        <v>216</v>
      </c>
      <c r="C19" s="6">
        <f>Inputs!$C$7+A19-1</f>
        <v>50</v>
      </c>
      <c r="D19" s="6">
        <f>Inputs!$C$13+A19-1</f>
        <v>48</v>
      </c>
      <c r="E19" s="12">
        <f>Inputs!$C$8*(1+Inputs!$C$39)^(A19-1)</f>
        <v>149704.89311884876</v>
      </c>
      <c r="F19" s="12">
        <f>Inputs!$C$14*(1+Inputs!$C$39)^(A19-1)</f>
        <v>125466.95804246372</v>
      </c>
      <c r="G19" s="12">
        <f>INDEX(Inputs!$D$49:$D$52,Inputs!$C$45)*(1+Inputs!$C$39)^(A19-1)*E19/(E19+F19)</f>
        <v>0</v>
      </c>
      <c r="H19" s="12">
        <f>INDEX(Inputs!$D$49:$D$52,Inputs!$C$45)*(1+Inputs!$C$39)^(A19-1)*F19/(E19+F19)</f>
        <v>0</v>
      </c>
      <c r="I19" s="12">
        <f>MIN(E19,Rules!$C$16*(1+Inputs!$C$39)^(A19-1))*Rules!$C$15</f>
        <v>17964.587174261851</v>
      </c>
      <c r="J19" s="12">
        <f>MIN(F19,Rules!$C$16*(1+Inputs!$C$39)^(A19-1))*Rules!$C$15</f>
        <v>15056.034965095647</v>
      </c>
      <c r="K19" s="12">
        <f t="shared" si="0"/>
        <v>17964.587174261851</v>
      </c>
      <c r="L19" s="12">
        <f t="shared" si="1"/>
        <v>15056.034965095647</v>
      </c>
      <c r="M19" s="12">
        <f>Rules!$C$17*(1+Inputs!$C$39)^(A19-1)</f>
        <v>46337.228822500809</v>
      </c>
      <c r="N19" s="12">
        <f t="shared" si="2"/>
        <v>0</v>
      </c>
      <c r="O19" s="12">
        <f t="shared" si="3"/>
        <v>0</v>
      </c>
      <c r="P19" s="12">
        <f t="shared" si="4"/>
        <v>149704.89311884876</v>
      </c>
      <c r="Q19" s="12">
        <f t="shared" si="5"/>
        <v>125466.95804246372</v>
      </c>
      <c r="R19" s="12">
        <f>SUMPRODUCT(--(P19&gt;Rules!$B$7:$B$11),(P19-Rules!$B$7:$B$11),Rules!$E$7:$E$11)+P19*Rules!$C$14</f>
        <v>39454.908316351015</v>
      </c>
      <c r="S19" s="12">
        <f>SUMPRODUCT(--(Q19&gt;Rules!$B$7:$B$11),(Q19-Rules!$B$7:$B$11),Rules!$E$7:$E$11)+Q19*Rules!$C$14</f>
        <v>30669.426573588389</v>
      </c>
      <c r="T19" s="12">
        <f t="shared" si="6"/>
        <v>205047.51627137308</v>
      </c>
      <c r="U19" s="12">
        <f>Inputs!$C$20*(1+Inputs!$C$38)^(A19-1)</f>
        <v>129109.32712764456</v>
      </c>
      <c r="V19" s="12">
        <f t="shared" si="14"/>
        <v>496781.64826932293</v>
      </c>
      <c r="W19" s="12">
        <f>V19*Inputs!$C$26</f>
        <v>29310.117247890052</v>
      </c>
      <c r="X19" s="12">
        <f>IF(V19&lt;=0,0,MIN(Inputs!$C$28,V19+W19))</f>
        <v>55789.166988593286</v>
      </c>
      <c r="Y19" s="12">
        <f>IF(V19&lt;=0,0,MIN(INDEX(Inputs!$E$49:$E$52,Inputs!$C$45),MAX(0,V19+W19-X19)))</f>
        <v>0</v>
      </c>
      <c r="Z19" s="12">
        <f t="shared" si="7"/>
        <v>470302.59852861974</v>
      </c>
      <c r="AA19" s="12">
        <f t="shared" si="15"/>
        <v>563699.93722232361</v>
      </c>
      <c r="AB19" s="12">
        <f>INDEX(Inputs!$F$49:$F$52,Inputs!$C$45)+IF(V19&lt;=0,Inputs!$C$28+INDEX(Inputs!$E$49:$E$52,Inputs!$C$45),0)</f>
        <v>23119.999999999996</v>
      </c>
      <c r="AC19" s="12">
        <f>(AA19+AB19/2)*Inputs!$C$36</f>
        <v>37391.895919451039</v>
      </c>
      <c r="AD19" s="12">
        <f t="shared" si="8"/>
        <v>624211.83314177464</v>
      </c>
      <c r="AE19" s="12">
        <f t="shared" si="16"/>
        <v>389085.26780138543</v>
      </c>
      <c r="AF19" s="12">
        <f>K19*(1-Rules!$C$18)-MAX(0,MIN(K19,P19+K19-Rules!$C$19))*Rules!$C$20</f>
        <v>15269.899098122572</v>
      </c>
      <c r="AG19" s="12">
        <f>(AE19+AF19/2)*Inputs!$C$35</f>
        <v>27770.415214531273</v>
      </c>
      <c r="AH19" s="12">
        <f>(AE19+AF19/2)*Inputs!$C$42</f>
        <v>5355.7229342310311</v>
      </c>
      <c r="AI19" s="12">
        <f t="shared" si="9"/>
        <v>426769.85917980823</v>
      </c>
      <c r="AJ19" s="12">
        <f t="shared" si="17"/>
        <v>308482.81097764702</v>
      </c>
      <c r="AK19" s="12">
        <f>L19*(1-Rules!$C$18)-MAX(0,MIN(L19,Q19+L19-Rules!$C$19))*Rules!$C$20</f>
        <v>12797.629720331299</v>
      </c>
      <c r="AL19" s="12">
        <f>(AJ19+AK19/2)*Inputs!$C$35</f>
        <v>22041.713808646888</v>
      </c>
      <c r="AM19" s="12">
        <f>(AJ19+AK19/2)*Inputs!$C$42</f>
        <v>4250.9019488104714</v>
      </c>
      <c r="AN19" s="12">
        <f t="shared" si="10"/>
        <v>339071.2525578147</v>
      </c>
      <c r="AO19" s="12">
        <f t="shared" si="11"/>
        <v>765841.11173762288</v>
      </c>
      <c r="AP19" s="12">
        <f t="shared" si="12"/>
        <v>919750.34635077778</v>
      </c>
      <c r="AQ19" s="6" t="str">
        <f t="shared" si="13"/>
        <v>OK</v>
      </c>
    </row>
    <row r="20" spans="1:43" x14ac:dyDescent="0.25">
      <c r="A20" s="13">
        <v>14</v>
      </c>
      <c r="B20" s="13" t="s">
        <v>217</v>
      </c>
      <c r="C20" s="13">
        <f>Inputs!$C$7+A20-1</f>
        <v>51</v>
      </c>
      <c r="D20" s="13">
        <f>Inputs!$C$13+A20-1</f>
        <v>49</v>
      </c>
      <c r="E20" s="14">
        <f>Inputs!$C$8*(1+Inputs!$C$39)^(A20-1)</f>
        <v>154196.03991241421</v>
      </c>
      <c r="F20" s="14">
        <f>Inputs!$C$14*(1+Inputs!$C$39)^(A20-1)</f>
        <v>129230.96678373762</v>
      </c>
      <c r="G20" s="14">
        <f>INDEX(Inputs!$D$49:$D$52,Inputs!$C$45)*(1+Inputs!$C$39)^(A20-1)*E20/(E20+F20)</f>
        <v>0</v>
      </c>
      <c r="H20" s="14">
        <f>INDEX(Inputs!$D$49:$D$52,Inputs!$C$45)*(1+Inputs!$C$39)^(A20-1)*F20/(E20+F20)</f>
        <v>0</v>
      </c>
      <c r="I20" s="14">
        <f>MIN(E20,Rules!$C$16*(1+Inputs!$C$39)^(A20-1))*Rules!$C$15</f>
        <v>18503.524789489704</v>
      </c>
      <c r="J20" s="14">
        <f>MIN(F20,Rules!$C$16*(1+Inputs!$C$39)^(A20-1))*Rules!$C$15</f>
        <v>15507.716014048514</v>
      </c>
      <c r="K20" s="14">
        <f t="shared" si="0"/>
        <v>18503.524789489704</v>
      </c>
      <c r="L20" s="14">
        <f t="shared" si="1"/>
        <v>15507.716014048514</v>
      </c>
      <c r="M20" s="14">
        <f>Rules!$C$17*(1+Inputs!$C$39)^(A20-1)</f>
        <v>47727.345687175824</v>
      </c>
      <c r="N20" s="14">
        <f t="shared" si="2"/>
        <v>0</v>
      </c>
      <c r="O20" s="14">
        <f t="shared" si="3"/>
        <v>0</v>
      </c>
      <c r="P20" s="14">
        <f t="shared" si="4"/>
        <v>154196.03991241421</v>
      </c>
      <c r="Q20" s="14">
        <f t="shared" si="5"/>
        <v>129230.96678373762</v>
      </c>
      <c r="R20" s="14">
        <f>SUMPRODUCT(--(P20&gt;Rules!$B$7:$B$11),(P20-Rules!$B$7:$B$11),Rules!$E$7:$E$11)+P20*Rules!$C$14</f>
        <v>41206.455565841541</v>
      </c>
      <c r="S20" s="14">
        <f>SUMPRODUCT(--(Q20&gt;Rules!$B$7:$B$11),(Q20-Rules!$B$7:$B$11),Rules!$E$7:$E$11)+Q20*Rules!$C$14</f>
        <v>31873.909370796035</v>
      </c>
      <c r="T20" s="14">
        <f t="shared" si="6"/>
        <v>210346.64175951426</v>
      </c>
      <c r="U20" s="14">
        <f>Inputs!$C$20*(1+Inputs!$C$38)^(A20-1)</f>
        <v>132337.06030583568</v>
      </c>
      <c r="V20" s="14">
        <f t="shared" si="14"/>
        <v>470302.59852861974</v>
      </c>
      <c r="W20" s="14">
        <f>V20*Inputs!$C$26</f>
        <v>27747.853313188563</v>
      </c>
      <c r="X20" s="14">
        <f>IF(V20&lt;=0,0,MIN(Inputs!$C$28,V20+W20))</f>
        <v>55789.166988593286</v>
      </c>
      <c r="Y20" s="14">
        <f>IF(V20&lt;=0,0,MIN(INDEX(Inputs!$E$49:$E$52,Inputs!$C$45),MAX(0,V20+W20-X20)))</f>
        <v>0</v>
      </c>
      <c r="Z20" s="14">
        <f t="shared" si="7"/>
        <v>442261.28485321498</v>
      </c>
      <c r="AA20" s="14">
        <f t="shared" si="15"/>
        <v>624211.83314177464</v>
      </c>
      <c r="AB20" s="14">
        <f>INDEX(Inputs!$F$49:$F$52,Inputs!$C$45)+IF(V20&lt;=0,Inputs!$C$28+INDEX(Inputs!$E$49:$E$52,Inputs!$C$45),0)</f>
        <v>23119.999999999996</v>
      </c>
      <c r="AC20" s="14">
        <f>(AA20+AB20/2)*Inputs!$C$36</f>
        <v>41325.169154215349</v>
      </c>
      <c r="AD20" s="14">
        <f t="shared" si="8"/>
        <v>688657.00229599001</v>
      </c>
      <c r="AE20" s="14">
        <f t="shared" si="16"/>
        <v>426769.85917980823</v>
      </c>
      <c r="AF20" s="14">
        <f>K20*(1-Rules!$C$18)-MAX(0,MIN(K20,P20+K20-Rules!$C$19))*Rules!$C$20</f>
        <v>15727.996071066247</v>
      </c>
      <c r="AG20" s="14">
        <f>(AE20+AF20/2)*Inputs!$C$35</f>
        <v>30424.370005073899</v>
      </c>
      <c r="AH20" s="14">
        <f>(AE20+AF20/2)*Inputs!$C$42</f>
        <v>5867.5570724071085</v>
      </c>
      <c r="AI20" s="14">
        <f t="shared" si="9"/>
        <v>467054.66818354127</v>
      </c>
      <c r="AJ20" s="14">
        <f t="shared" si="17"/>
        <v>339071.2525578147</v>
      </c>
      <c r="AK20" s="14">
        <f>L20*(1-Rules!$C$18)-MAX(0,MIN(L20,Q20+L20-Rules!$C$19))*Rules!$C$20</f>
        <v>13181.558611941236</v>
      </c>
      <c r="AL20" s="14">
        <f>(AJ20+AK20/2)*Inputs!$C$35</f>
        <v>24196.342230464976</v>
      </c>
      <c r="AM20" s="14">
        <f>(AJ20+AK20/2)*Inputs!$C$42</f>
        <v>4666.4374301611024</v>
      </c>
      <c r="AN20" s="14">
        <f t="shared" si="10"/>
        <v>371782.7159700598</v>
      </c>
      <c r="AO20" s="14">
        <f t="shared" si="11"/>
        <v>838837.38415360101</v>
      </c>
      <c r="AP20" s="14">
        <f t="shared" si="12"/>
        <v>1085233.1015963759</v>
      </c>
      <c r="AQ20" s="13" t="str">
        <f t="shared" si="13"/>
        <v>OK</v>
      </c>
    </row>
    <row r="21" spans="1:43" x14ac:dyDescent="0.25">
      <c r="A21" s="6">
        <v>15</v>
      </c>
      <c r="B21" s="6" t="s">
        <v>218</v>
      </c>
      <c r="C21" s="6">
        <f>Inputs!$C$7+A21-1</f>
        <v>52</v>
      </c>
      <c r="D21" s="6">
        <f>Inputs!$C$13+A21-1</f>
        <v>50</v>
      </c>
      <c r="E21" s="12">
        <f>Inputs!$C$8*(1+Inputs!$C$39)^(A21-1)</f>
        <v>158821.92110978666</v>
      </c>
      <c r="F21" s="12">
        <f>Inputs!$C$14*(1+Inputs!$C$39)^(A21-1)</f>
        <v>133107.89578724976</v>
      </c>
      <c r="G21" s="12">
        <f>INDEX(Inputs!$D$49:$D$52,Inputs!$C$45)*(1+Inputs!$C$39)^(A21-1)*E21/(E21+F21)</f>
        <v>0</v>
      </c>
      <c r="H21" s="12">
        <f>INDEX(Inputs!$D$49:$D$52,Inputs!$C$45)*(1+Inputs!$C$39)^(A21-1)*F21/(E21+F21)</f>
        <v>0</v>
      </c>
      <c r="I21" s="12">
        <f>MIN(E21,Rules!$C$16*(1+Inputs!$C$39)^(A21-1))*Rules!$C$15</f>
        <v>19058.630533174401</v>
      </c>
      <c r="J21" s="12">
        <f>MIN(F21,Rules!$C$16*(1+Inputs!$C$39)^(A21-1))*Rules!$C$15</f>
        <v>15972.94749446997</v>
      </c>
      <c r="K21" s="12">
        <f t="shared" si="0"/>
        <v>19058.630533174401</v>
      </c>
      <c r="L21" s="12">
        <f t="shared" si="1"/>
        <v>15972.94749446997</v>
      </c>
      <c r="M21" s="12">
        <f>Rules!$C$17*(1+Inputs!$C$39)^(A21-1)</f>
        <v>49159.16605779111</v>
      </c>
      <c r="N21" s="12">
        <f t="shared" si="2"/>
        <v>0</v>
      </c>
      <c r="O21" s="12">
        <f t="shared" si="3"/>
        <v>0</v>
      </c>
      <c r="P21" s="12">
        <f t="shared" si="4"/>
        <v>158821.92110978666</v>
      </c>
      <c r="Q21" s="12">
        <f t="shared" si="5"/>
        <v>133107.89578724976</v>
      </c>
      <c r="R21" s="12">
        <f>SUMPRODUCT(--(P21&gt;Rules!$B$7:$B$11),(P21-Rules!$B$7:$B$11),Rules!$E$7:$E$11)+P21*Rules!$C$14</f>
        <v>43010.549232816804</v>
      </c>
      <c r="S21" s="12">
        <f>SUMPRODUCT(--(Q21&gt;Rules!$B$7:$B$11),(Q21-Rules!$B$7:$B$11),Rules!$E$7:$E$11)+Q21*Rules!$C$14</f>
        <v>33114.526651919921</v>
      </c>
      <c r="T21" s="12">
        <f t="shared" si="6"/>
        <v>215804.7410122997</v>
      </c>
      <c r="U21" s="12">
        <f>Inputs!$C$20*(1+Inputs!$C$38)^(A21-1)</f>
        <v>135645.48681348155</v>
      </c>
      <c r="V21" s="12">
        <f t="shared" si="14"/>
        <v>442261.28485321498</v>
      </c>
      <c r="W21" s="12">
        <f>V21*Inputs!$C$26</f>
        <v>26093.415806339683</v>
      </c>
      <c r="X21" s="12">
        <f>IF(V21&lt;=0,0,MIN(Inputs!$C$28,V21+W21))</f>
        <v>55789.166988593286</v>
      </c>
      <c r="Y21" s="12">
        <f>IF(V21&lt;=0,0,MIN(INDEX(Inputs!$E$49:$E$52,Inputs!$C$45),MAX(0,V21+W21-X21)))</f>
        <v>0</v>
      </c>
      <c r="Z21" s="12">
        <f t="shared" si="7"/>
        <v>412565.53367096139</v>
      </c>
      <c r="AA21" s="12">
        <f t="shared" si="15"/>
        <v>688657.00229599001</v>
      </c>
      <c r="AB21" s="12">
        <f>INDEX(Inputs!$F$49:$F$52,Inputs!$C$45)+IF(V21&lt;=0,Inputs!$C$28+INDEX(Inputs!$E$49:$E$52,Inputs!$C$45),0)</f>
        <v>23119.999999999996</v>
      </c>
      <c r="AC21" s="12">
        <f>(AA21+AB21/2)*Inputs!$C$36</f>
        <v>45514.105149239353</v>
      </c>
      <c r="AD21" s="12">
        <f t="shared" si="8"/>
        <v>757291.10744522931</v>
      </c>
      <c r="AE21" s="12">
        <f t="shared" si="16"/>
        <v>467054.66818354127</v>
      </c>
      <c r="AF21" s="12">
        <f>K21*(1-Rules!$C$18)-MAX(0,MIN(K21,P21+K21-Rules!$C$19))*Rules!$C$20</f>
        <v>16199.835953198241</v>
      </c>
      <c r="AG21" s="12">
        <f>(AE21+AF21/2)*Inputs!$C$35</f>
        <v>33260.821031209831</v>
      </c>
      <c r="AH21" s="12">
        <f>(AE21+AF21/2)*Inputs!$C$42</f>
        <v>6414.5869131618956</v>
      </c>
      <c r="AI21" s="12">
        <f t="shared" si="9"/>
        <v>510100.73825478746</v>
      </c>
      <c r="AJ21" s="12">
        <f t="shared" si="17"/>
        <v>371782.7159700598</v>
      </c>
      <c r="AK21" s="12">
        <f>L21*(1-Rules!$C$18)-MAX(0,MIN(L21,Q21+L21-Rules!$C$19))*Rules!$C$20</f>
        <v>13577.005370299474</v>
      </c>
      <c r="AL21" s="12">
        <f>(AJ21+AK21/2)*Inputs!$C$35</f>
        <v>26499.985305864669</v>
      </c>
      <c r="AM21" s="12">
        <f>(AJ21+AK21/2)*Inputs!$C$42</f>
        <v>5110.7114518453282</v>
      </c>
      <c r="AN21" s="12">
        <f t="shared" si="10"/>
        <v>406748.9951943786</v>
      </c>
      <c r="AO21" s="12">
        <f t="shared" si="11"/>
        <v>916849.73344916606</v>
      </c>
      <c r="AP21" s="12">
        <f t="shared" si="12"/>
        <v>1261575.3072234341</v>
      </c>
      <c r="AQ21" s="6" t="str">
        <f t="shared" si="13"/>
        <v>OK</v>
      </c>
    </row>
    <row r="22" spans="1:43" x14ac:dyDescent="0.25">
      <c r="A22" s="13">
        <v>16</v>
      </c>
      <c r="B22" s="13" t="s">
        <v>219</v>
      </c>
      <c r="C22" s="13">
        <f>Inputs!$C$7+A22-1</f>
        <v>53</v>
      </c>
      <c r="D22" s="13">
        <f>Inputs!$C$13+A22-1</f>
        <v>51</v>
      </c>
      <c r="E22" s="14">
        <f>Inputs!$C$8*(1+Inputs!$C$39)^(A22-1)</f>
        <v>163586.57874308026</v>
      </c>
      <c r="F22" s="14">
        <f>Inputs!$C$14*(1+Inputs!$C$39)^(A22-1)</f>
        <v>137101.13266086727</v>
      </c>
      <c r="G22" s="14">
        <f>INDEX(Inputs!$D$49:$D$52,Inputs!$C$45)*(1+Inputs!$C$39)^(A22-1)*E22/(E22+F22)</f>
        <v>0</v>
      </c>
      <c r="H22" s="14">
        <f>INDEX(Inputs!$D$49:$D$52,Inputs!$C$45)*(1+Inputs!$C$39)^(A22-1)*F22/(E22+F22)</f>
        <v>0</v>
      </c>
      <c r="I22" s="14">
        <f>MIN(E22,Rules!$C$16*(1+Inputs!$C$39)^(A22-1))*Rules!$C$15</f>
        <v>19630.38944916963</v>
      </c>
      <c r="J22" s="14">
        <f>MIN(F22,Rules!$C$16*(1+Inputs!$C$39)^(A22-1))*Rules!$C$15</f>
        <v>16452.13591930407</v>
      </c>
      <c r="K22" s="14">
        <f t="shared" si="0"/>
        <v>19630.38944916963</v>
      </c>
      <c r="L22" s="14">
        <f t="shared" si="1"/>
        <v>16452.13591930407</v>
      </c>
      <c r="M22" s="14">
        <f>Rules!$C$17*(1+Inputs!$C$39)^(A22-1)</f>
        <v>50633.941039524841</v>
      </c>
      <c r="N22" s="14">
        <f t="shared" si="2"/>
        <v>0</v>
      </c>
      <c r="O22" s="14">
        <f t="shared" si="3"/>
        <v>0</v>
      </c>
      <c r="P22" s="14">
        <f t="shared" si="4"/>
        <v>163586.57874308026</v>
      </c>
      <c r="Q22" s="14">
        <f t="shared" si="5"/>
        <v>137101.13266086727</v>
      </c>
      <c r="R22" s="14">
        <f>SUMPRODUCT(--(P22&gt;Rules!$B$7:$B$11),(P22-Rules!$B$7:$B$11),Rules!$E$7:$E$11)+P22*Rules!$C$14</f>
        <v>44868.765709801293</v>
      </c>
      <c r="S22" s="14">
        <f>SUMPRODUCT(--(Q22&gt;Rules!$B$7:$B$11),(Q22-Rules!$B$7:$B$11),Rules!$E$7:$E$11)+Q22*Rules!$C$14</f>
        <v>34539.441737738234</v>
      </c>
      <c r="T22" s="14">
        <f t="shared" si="6"/>
        <v>221279.50395640801</v>
      </c>
      <c r="U22" s="14">
        <f>Inputs!$C$20*(1+Inputs!$C$38)^(A22-1)</f>
        <v>139036.6239838186</v>
      </c>
      <c r="V22" s="14">
        <f t="shared" si="14"/>
        <v>412565.53367096139</v>
      </c>
      <c r="W22" s="14">
        <f>V22*Inputs!$C$26</f>
        <v>24341.366486586721</v>
      </c>
      <c r="X22" s="14">
        <f>IF(V22&lt;=0,0,MIN(Inputs!$C$28,V22+W22))</f>
        <v>55789.166988593286</v>
      </c>
      <c r="Y22" s="14">
        <f>IF(V22&lt;=0,0,MIN(INDEX(Inputs!$E$49:$E$52,Inputs!$C$45),MAX(0,V22+W22-X22)))</f>
        <v>0</v>
      </c>
      <c r="Z22" s="14">
        <f t="shared" si="7"/>
        <v>381117.73316895484</v>
      </c>
      <c r="AA22" s="14">
        <f t="shared" si="15"/>
        <v>757291.10744522931</v>
      </c>
      <c r="AB22" s="14">
        <f>INDEX(Inputs!$F$49:$F$52,Inputs!$C$45)+IF(V22&lt;=0,Inputs!$C$28+INDEX(Inputs!$E$49:$E$52,Inputs!$C$45),0)</f>
        <v>23119.999999999996</v>
      </c>
      <c r="AC22" s="14">
        <f>(AA22+AB22/2)*Inputs!$C$36</f>
        <v>49975.32198393991</v>
      </c>
      <c r="AD22" s="14">
        <f t="shared" si="8"/>
        <v>830386.42942916928</v>
      </c>
      <c r="AE22" s="14">
        <f t="shared" si="16"/>
        <v>510100.73825478746</v>
      </c>
      <c r="AF22" s="14">
        <f>K22*(1-Rules!$C$18)-MAX(0,MIN(K22,P22+K22-Rules!$C$19))*Rules!$C$20</f>
        <v>16685.831031794187</v>
      </c>
      <c r="AG22" s="14">
        <f>(AE22+AF22/2)*Inputs!$C$35</f>
        <v>36291.055763947923</v>
      </c>
      <c r="AH22" s="14">
        <f>(AE22+AF22/2)*Inputs!$C$42</f>
        <v>6998.989325904241</v>
      </c>
      <c r="AI22" s="14">
        <f t="shared" si="9"/>
        <v>556078.6357246252</v>
      </c>
      <c r="AJ22" s="14">
        <f t="shared" si="17"/>
        <v>406748.9951943786</v>
      </c>
      <c r="AK22" s="14">
        <f>L22*(1-Rules!$C$18)-MAX(0,MIN(L22,Q22+L22-Rules!$C$19))*Rules!$C$20</f>
        <v>13984.31553140846</v>
      </c>
      <c r="AL22" s="14">
        <f>(AJ22+AK22/2)*Inputs!$C$35</f>
        <v>28961.880707205801</v>
      </c>
      <c r="AM22" s="14">
        <f>(AJ22+AK22/2)*Inputs!$C$42</f>
        <v>5585.5055649611177</v>
      </c>
      <c r="AN22" s="14">
        <f t="shared" si="10"/>
        <v>444109.68586803175</v>
      </c>
      <c r="AO22" s="14">
        <f t="shared" si="11"/>
        <v>1000188.3215926569</v>
      </c>
      <c r="AP22" s="14">
        <f t="shared" si="12"/>
        <v>1449457.0178528712</v>
      </c>
      <c r="AQ22" s="13" t="str">
        <f t="shared" si="13"/>
        <v>OK</v>
      </c>
    </row>
    <row r="23" spans="1:43" x14ac:dyDescent="0.25">
      <c r="A23" s="6">
        <v>17</v>
      </c>
      <c r="B23" s="6" t="s">
        <v>220</v>
      </c>
      <c r="C23" s="6">
        <f>Inputs!$C$7+A23-1</f>
        <v>54</v>
      </c>
      <c r="D23" s="6">
        <f>Inputs!$C$13+A23-1</f>
        <v>52</v>
      </c>
      <c r="E23" s="12">
        <f>Inputs!$C$8*(1+Inputs!$C$39)^(A23-1)</f>
        <v>168494.17610537264</v>
      </c>
      <c r="F23" s="12">
        <f>Inputs!$C$14*(1+Inputs!$C$39)^(A23-1)</f>
        <v>141214.16664069326</v>
      </c>
      <c r="G23" s="12">
        <f>INDEX(Inputs!$D$49:$D$52,Inputs!$C$45)*(1+Inputs!$C$39)^(A23-1)*E23/(E23+F23)</f>
        <v>0</v>
      </c>
      <c r="H23" s="12">
        <f>INDEX(Inputs!$D$49:$D$52,Inputs!$C$45)*(1+Inputs!$C$39)^(A23-1)*F23/(E23+F23)</f>
        <v>0</v>
      </c>
      <c r="I23" s="12">
        <f>MIN(E23,Rules!$C$16*(1+Inputs!$C$39)^(A23-1))*Rules!$C$15</f>
        <v>20219.301132644716</v>
      </c>
      <c r="J23" s="12">
        <f>MIN(F23,Rules!$C$16*(1+Inputs!$C$39)^(A23-1))*Rules!$C$15</f>
        <v>16945.699996883191</v>
      </c>
      <c r="K23" s="12">
        <f t="shared" si="0"/>
        <v>20219.301132644716</v>
      </c>
      <c r="L23" s="12">
        <f t="shared" si="1"/>
        <v>16945.699996883191</v>
      </c>
      <c r="M23" s="12">
        <f>Rules!$C$17*(1+Inputs!$C$39)^(A23-1)</f>
        <v>52152.959270710577</v>
      </c>
      <c r="N23" s="12">
        <f t="shared" si="2"/>
        <v>0</v>
      </c>
      <c r="O23" s="12">
        <f t="shared" si="3"/>
        <v>0</v>
      </c>
      <c r="P23" s="12">
        <f t="shared" si="4"/>
        <v>168494.17610537264</v>
      </c>
      <c r="Q23" s="12">
        <f t="shared" si="5"/>
        <v>141214.16664069326</v>
      </c>
      <c r="R23" s="12">
        <f>SUMPRODUCT(--(P23&gt;Rules!$B$7:$B$11),(P23-Rules!$B$7:$B$11),Rules!$E$7:$E$11)+P23*Rules!$C$14</f>
        <v>46782.72868109533</v>
      </c>
      <c r="S23" s="12">
        <f>SUMPRODUCT(--(Q23&gt;Rules!$B$7:$B$11),(Q23-Rules!$B$7:$B$11),Rules!$E$7:$E$11)+Q23*Rules!$C$14</f>
        <v>36143.524989870377</v>
      </c>
      <c r="T23" s="12">
        <f t="shared" si="6"/>
        <v>226782.0890751002</v>
      </c>
      <c r="U23" s="12">
        <f>Inputs!$C$20*(1+Inputs!$C$38)^(A23-1)</f>
        <v>142512.53958341407</v>
      </c>
      <c r="V23" s="12">
        <f t="shared" si="14"/>
        <v>381117.73316895484</v>
      </c>
      <c r="W23" s="12">
        <f>V23*Inputs!$C$26</f>
        <v>22485.946256968335</v>
      </c>
      <c r="X23" s="12">
        <f>IF(V23&lt;=0,0,MIN(Inputs!$C$28,V23+W23))</f>
        <v>55789.166988593286</v>
      </c>
      <c r="Y23" s="12">
        <f>IF(V23&lt;=0,0,MIN(INDEX(Inputs!$E$49:$E$52,Inputs!$C$45),MAX(0,V23+W23-X23)))</f>
        <v>0</v>
      </c>
      <c r="Z23" s="12">
        <f t="shared" si="7"/>
        <v>347814.51243732986</v>
      </c>
      <c r="AA23" s="12">
        <f t="shared" si="15"/>
        <v>830386.42942916928</v>
      </c>
      <c r="AB23" s="12">
        <f>INDEX(Inputs!$F$49:$F$52,Inputs!$C$45)+IF(V23&lt;=0,Inputs!$C$28+INDEX(Inputs!$E$49:$E$52,Inputs!$C$45),0)</f>
        <v>23119.999999999996</v>
      </c>
      <c r="AC23" s="12">
        <f>(AA23+AB23/2)*Inputs!$C$36</f>
        <v>54726.517912896008</v>
      </c>
      <c r="AD23" s="12">
        <f t="shared" si="8"/>
        <v>908232.94734206528</v>
      </c>
      <c r="AE23" s="12">
        <f t="shared" si="16"/>
        <v>556078.6357246252</v>
      </c>
      <c r="AF23" s="12">
        <f>K23*(1-Rules!$C$18)-MAX(0,MIN(K23,P23+K23-Rules!$C$19))*Rules!$C$20</f>
        <v>17186.405962748009</v>
      </c>
      <c r="AG23" s="12">
        <f>(AE23+AF23/2)*Inputs!$C$35</f>
        <v>39527.028709419945</v>
      </c>
      <c r="AH23" s="12">
        <f>(AE23+AF23/2)*Inputs!$C$42</f>
        <v>7623.0698225309889</v>
      </c>
      <c r="AI23" s="12">
        <f t="shared" si="9"/>
        <v>605169.00057426211</v>
      </c>
      <c r="AJ23" s="12">
        <f t="shared" si="17"/>
        <v>444109.68586803175</v>
      </c>
      <c r="AK23" s="12">
        <f>L23*(1-Rules!$C$18)-MAX(0,MIN(L23,Q23+L23-Rules!$C$19))*Rules!$C$20</f>
        <v>14403.844997350712</v>
      </c>
      <c r="AL23" s="12">
        <f>(AJ23+AK23/2)*Inputs!$C$35</f>
        <v>31591.812585669501</v>
      </c>
      <c r="AM23" s="12">
        <f>(AJ23+AK23/2)*Inputs!$C$42</f>
        <v>6092.7067129505458</v>
      </c>
      <c r="AN23" s="12">
        <f t="shared" si="10"/>
        <v>484012.63673810143</v>
      </c>
      <c r="AO23" s="12">
        <f t="shared" si="11"/>
        <v>1089181.6373123636</v>
      </c>
      <c r="AP23" s="12">
        <f t="shared" si="12"/>
        <v>1649600.0722170991</v>
      </c>
      <c r="AQ23" s="6" t="str">
        <f t="shared" si="13"/>
        <v>OK</v>
      </c>
    </row>
    <row r="24" spans="1:43" x14ac:dyDescent="0.25">
      <c r="A24" s="13">
        <v>18</v>
      </c>
      <c r="B24" s="13" t="s">
        <v>221</v>
      </c>
      <c r="C24" s="13">
        <f>Inputs!$C$7+A24-1</f>
        <v>55</v>
      </c>
      <c r="D24" s="13">
        <f>Inputs!$C$13+A24-1</f>
        <v>53</v>
      </c>
      <c r="E24" s="14">
        <f>Inputs!$C$8*(1+Inputs!$C$39)^(A24-1)</f>
        <v>173549.00138853383</v>
      </c>
      <c r="F24" s="14">
        <f>Inputs!$C$14*(1+Inputs!$C$39)^(A24-1)</f>
        <v>145450.59163991406</v>
      </c>
      <c r="G24" s="14">
        <f>INDEX(Inputs!$D$49:$D$52,Inputs!$C$45)*(1+Inputs!$C$39)^(A24-1)*E24/(E24+F24)</f>
        <v>0</v>
      </c>
      <c r="H24" s="14">
        <f>INDEX(Inputs!$D$49:$D$52,Inputs!$C$45)*(1+Inputs!$C$39)^(A24-1)*F24/(E24+F24)</f>
        <v>0</v>
      </c>
      <c r="I24" s="14">
        <f>MIN(E24,Rules!$C$16*(1+Inputs!$C$39)^(A24-1))*Rules!$C$15</f>
        <v>20825.880166624058</v>
      </c>
      <c r="J24" s="14">
        <f>MIN(F24,Rules!$C$16*(1+Inputs!$C$39)^(A24-1))*Rules!$C$15</f>
        <v>17454.070996789687</v>
      </c>
      <c r="K24" s="14">
        <f t="shared" si="0"/>
        <v>20825.880166624058</v>
      </c>
      <c r="L24" s="14">
        <f t="shared" si="1"/>
        <v>17454.070996789687</v>
      </c>
      <c r="M24" s="14">
        <f>Rules!$C$17*(1+Inputs!$C$39)^(A24-1)</f>
        <v>53717.548048831901</v>
      </c>
      <c r="N24" s="14">
        <f t="shared" si="2"/>
        <v>0</v>
      </c>
      <c r="O24" s="14">
        <f t="shared" si="3"/>
        <v>0</v>
      </c>
      <c r="P24" s="14">
        <f t="shared" si="4"/>
        <v>173549.00138853383</v>
      </c>
      <c r="Q24" s="14">
        <f t="shared" si="5"/>
        <v>145450.59163991406</v>
      </c>
      <c r="R24" s="14">
        <f>SUMPRODUCT(--(P24&gt;Rules!$B$7:$B$11),(P24-Rules!$B$7:$B$11),Rules!$E$7:$E$11)+P24*Rules!$C$14</f>
        <v>48754.110541528185</v>
      </c>
      <c r="S24" s="14">
        <f>SUMPRODUCT(--(Q24&gt;Rules!$B$7:$B$11),(Q24-Rules!$B$7:$B$11),Rules!$E$7:$E$11)+Q24*Rules!$C$14</f>
        <v>37795.730739566476</v>
      </c>
      <c r="T24" s="14">
        <f t="shared" si="6"/>
        <v>232449.75174735324</v>
      </c>
      <c r="U24" s="14">
        <f>Inputs!$C$20*(1+Inputs!$C$38)^(A24-1)</f>
        <v>146075.35307299939</v>
      </c>
      <c r="V24" s="14">
        <f t="shared" si="14"/>
        <v>347814.51243732986</v>
      </c>
      <c r="W24" s="14">
        <f>V24*Inputs!$C$26</f>
        <v>20521.056233802461</v>
      </c>
      <c r="X24" s="14">
        <f>IF(V24&lt;=0,0,MIN(Inputs!$C$28,V24+W24))</f>
        <v>55789.166988593286</v>
      </c>
      <c r="Y24" s="14">
        <f>IF(V24&lt;=0,0,MIN(INDEX(Inputs!$E$49:$E$52,Inputs!$C$45),MAX(0,V24+W24-X24)))</f>
        <v>0</v>
      </c>
      <c r="Z24" s="14">
        <f t="shared" si="7"/>
        <v>312546.40168253903</v>
      </c>
      <c r="AA24" s="14">
        <f t="shared" si="15"/>
        <v>908232.94734206528</v>
      </c>
      <c r="AB24" s="14">
        <f>INDEX(Inputs!$F$49:$F$52,Inputs!$C$45)+IF(V24&lt;=0,Inputs!$C$28+INDEX(Inputs!$E$49:$E$52,Inputs!$C$45),0)</f>
        <v>23119.999999999996</v>
      </c>
      <c r="AC24" s="14">
        <f>(AA24+AB24/2)*Inputs!$C$36</f>
        <v>59786.541577234246</v>
      </c>
      <c r="AD24" s="14">
        <f t="shared" si="8"/>
        <v>991139.48891929956</v>
      </c>
      <c r="AE24" s="14">
        <f t="shared" si="16"/>
        <v>605169.00057426211</v>
      </c>
      <c r="AF24" s="14">
        <f>K24*(1-Rules!$C$18)-MAX(0,MIN(K24,P24+K24-Rules!$C$19))*Rules!$C$20</f>
        <v>17701.998141630447</v>
      </c>
      <c r="AG24" s="14">
        <f>(AE24+AF24/2)*Inputs!$C$35</f>
        <v>42981.399975155422</v>
      </c>
      <c r="AH24" s="14">
        <f>(AE24+AF24/2)*Inputs!$C$42</f>
        <v>8289.2699952085441</v>
      </c>
      <c r="AI24" s="14">
        <f t="shared" si="9"/>
        <v>657563.12869583932</v>
      </c>
      <c r="AJ24" s="14">
        <f t="shared" si="17"/>
        <v>484012.63673810143</v>
      </c>
      <c r="AK24" s="14">
        <f>L24*(1-Rules!$C$18)-MAX(0,MIN(L24,Q24+L24-Rules!$C$19))*Rules!$C$20</f>
        <v>14835.960347271233</v>
      </c>
      <c r="AL24" s="14">
        <f>(AJ24+AK24/2)*Inputs!$C$35</f>
        <v>34400.143183821594</v>
      </c>
      <c r="AM24" s="14">
        <f>(AJ24+AK24/2)*Inputs!$C$42</f>
        <v>6634.3133283084499</v>
      </c>
      <c r="AN24" s="14">
        <f t="shared" si="10"/>
        <v>526614.42694088584</v>
      </c>
      <c r="AO24" s="14">
        <f t="shared" si="11"/>
        <v>1184177.5556367252</v>
      </c>
      <c r="AP24" s="14">
        <f t="shared" si="12"/>
        <v>1862770.6428734856</v>
      </c>
      <c r="AQ24" s="13" t="str">
        <f t="shared" si="13"/>
        <v>OK</v>
      </c>
    </row>
    <row r="25" spans="1:43" x14ac:dyDescent="0.25">
      <c r="A25" s="6">
        <v>19</v>
      </c>
      <c r="B25" s="6" t="s">
        <v>222</v>
      </c>
      <c r="C25" s="6">
        <f>Inputs!$C$7+A25-1</f>
        <v>56</v>
      </c>
      <c r="D25" s="6">
        <f>Inputs!$C$13+A25-1</f>
        <v>54</v>
      </c>
      <c r="E25" s="12">
        <f>Inputs!$C$8*(1+Inputs!$C$39)^(A25-1)</f>
        <v>178755.47143018985</v>
      </c>
      <c r="F25" s="12">
        <f>Inputs!$C$14*(1+Inputs!$C$39)^(A25-1)</f>
        <v>149814.10938911149</v>
      </c>
      <c r="G25" s="12">
        <f>INDEX(Inputs!$D$49:$D$52,Inputs!$C$45)*(1+Inputs!$C$39)^(A25-1)*E25/(E25+F25)</f>
        <v>0</v>
      </c>
      <c r="H25" s="12">
        <f>INDEX(Inputs!$D$49:$D$52,Inputs!$C$45)*(1+Inputs!$C$39)^(A25-1)*F25/(E25+F25)</f>
        <v>0</v>
      </c>
      <c r="I25" s="12">
        <f>MIN(E25,Rules!$C$16*(1+Inputs!$C$39)^(A25-1))*Rules!$C$15</f>
        <v>21450.656571622781</v>
      </c>
      <c r="J25" s="12">
        <f>MIN(F25,Rules!$C$16*(1+Inputs!$C$39)^(A25-1))*Rules!$C$15</f>
        <v>17977.693126693379</v>
      </c>
      <c r="K25" s="12">
        <f t="shared" si="0"/>
        <v>21450.656571622781</v>
      </c>
      <c r="L25" s="12">
        <f t="shared" si="1"/>
        <v>17977.693126693379</v>
      </c>
      <c r="M25" s="12">
        <f>Rules!$C$17*(1+Inputs!$C$39)^(A25-1)</f>
        <v>55329.074490296858</v>
      </c>
      <c r="N25" s="12">
        <f t="shared" si="2"/>
        <v>0</v>
      </c>
      <c r="O25" s="12">
        <f t="shared" si="3"/>
        <v>0</v>
      </c>
      <c r="P25" s="12">
        <f t="shared" si="4"/>
        <v>178755.47143018985</v>
      </c>
      <c r="Q25" s="12">
        <f t="shared" si="5"/>
        <v>149814.10938911149</v>
      </c>
      <c r="R25" s="12">
        <f>SUMPRODUCT(--(P25&gt;Rules!$B$7:$B$11),(P25-Rules!$B$7:$B$11),Rules!$E$7:$E$11)+P25*Rules!$C$14</f>
        <v>50784.633857774039</v>
      </c>
      <c r="S25" s="12">
        <f>SUMPRODUCT(--(Q25&gt;Rules!$B$7:$B$11),(Q25-Rules!$B$7:$B$11),Rules!$E$7:$E$11)+Q25*Rules!$C$14</f>
        <v>39497.502661753475</v>
      </c>
      <c r="T25" s="12">
        <f t="shared" si="6"/>
        <v>238287.44429977384</v>
      </c>
      <c r="U25" s="12">
        <f>Inputs!$C$20*(1+Inputs!$C$38)^(A25-1)</f>
        <v>149727.23689982438</v>
      </c>
      <c r="V25" s="12">
        <f t="shared" si="14"/>
        <v>312546.40168253903</v>
      </c>
      <c r="W25" s="12">
        <f>V25*Inputs!$C$26</f>
        <v>18440.237699269801</v>
      </c>
      <c r="X25" s="12">
        <f>IF(V25&lt;=0,0,MIN(Inputs!$C$28,V25+W25))</f>
        <v>55789.166988593286</v>
      </c>
      <c r="Y25" s="12">
        <f>IF(V25&lt;=0,0,MIN(INDEX(Inputs!$E$49:$E$52,Inputs!$C$45),MAX(0,V25+W25-X25)))</f>
        <v>0</v>
      </c>
      <c r="Z25" s="12">
        <f t="shared" si="7"/>
        <v>275197.47239321552</v>
      </c>
      <c r="AA25" s="12">
        <f t="shared" si="15"/>
        <v>991139.48891929956</v>
      </c>
      <c r="AB25" s="12">
        <f>INDEX(Inputs!$F$49:$F$52,Inputs!$C$45)+IF(V25&lt;=0,Inputs!$C$28+INDEX(Inputs!$E$49:$E$52,Inputs!$C$45),0)</f>
        <v>23119.999999999996</v>
      </c>
      <c r="AC25" s="12">
        <f>(AA25+AB25/2)*Inputs!$C$36</f>
        <v>65175.466779754475</v>
      </c>
      <c r="AD25" s="12">
        <f t="shared" si="8"/>
        <v>1079434.9556990541</v>
      </c>
      <c r="AE25" s="12">
        <f t="shared" si="16"/>
        <v>657563.12869583932</v>
      </c>
      <c r="AF25" s="12">
        <f>K25*(1-Rules!$C$18)-MAX(0,MIN(K25,P25+K25-Rules!$C$19))*Rules!$C$20</f>
        <v>18233.058085879366</v>
      </c>
      <c r="AG25" s="12">
        <f>(AE25+AF25/2)*Inputs!$C$35</f>
        <v>46667.576041714536</v>
      </c>
      <c r="AH25" s="12">
        <f>(AE25+AF25/2)*Inputs!$C$42</f>
        <v>9000.1753794735159</v>
      </c>
      <c r="AI25" s="12">
        <f t="shared" si="9"/>
        <v>713463.58744395967</v>
      </c>
      <c r="AJ25" s="12">
        <f t="shared" si="17"/>
        <v>526614.42694088584</v>
      </c>
      <c r="AK25" s="12">
        <f>L25*(1-Rules!$C$18)-MAX(0,MIN(L25,Q25+L25-Rules!$C$19))*Rules!$C$20</f>
        <v>15281.039157689371</v>
      </c>
      <c r="AL25" s="12">
        <f>(AJ25+AK25/2)*Inputs!$C$35</f>
        <v>37397.846256381141</v>
      </c>
      <c r="AM25" s="12">
        <f>(AJ25+AK25/2)*Inputs!$C$42</f>
        <v>7212.4417780163612</v>
      </c>
      <c r="AN25" s="12">
        <f t="shared" si="10"/>
        <v>572080.87057693989</v>
      </c>
      <c r="AO25" s="12">
        <f t="shared" si="11"/>
        <v>1285544.4580208994</v>
      </c>
      <c r="AP25" s="12">
        <f t="shared" si="12"/>
        <v>2089781.9413267379</v>
      </c>
      <c r="AQ25" s="6" t="str">
        <f t="shared" si="13"/>
        <v>OK</v>
      </c>
    </row>
    <row r="26" spans="1:43" x14ac:dyDescent="0.25">
      <c r="A26" s="13">
        <v>20</v>
      </c>
      <c r="B26" s="13" t="s">
        <v>223</v>
      </c>
      <c r="C26" s="13">
        <f>Inputs!$C$7+A26-1</f>
        <v>57</v>
      </c>
      <c r="D26" s="13">
        <f>Inputs!$C$13+A26-1</f>
        <v>55</v>
      </c>
      <c r="E26" s="14">
        <f>Inputs!$C$8*(1+Inputs!$C$39)^(A26-1)</f>
        <v>184118.13557309553</v>
      </c>
      <c r="F26" s="14">
        <f>Inputs!$C$14*(1+Inputs!$C$39)^(A26-1)</f>
        <v>154308.53267078483</v>
      </c>
      <c r="G26" s="14">
        <f>INDEX(Inputs!$D$49:$D$52,Inputs!$C$45)*(1+Inputs!$C$39)^(A26-1)*E26/(E26+F26)</f>
        <v>0</v>
      </c>
      <c r="H26" s="14">
        <f>INDEX(Inputs!$D$49:$D$52,Inputs!$C$45)*(1+Inputs!$C$39)^(A26-1)*F26/(E26+F26)</f>
        <v>0</v>
      </c>
      <c r="I26" s="14">
        <f>MIN(E26,Rules!$C$16*(1+Inputs!$C$39)^(A26-1))*Rules!$C$15</f>
        <v>22094.176268771462</v>
      </c>
      <c r="J26" s="14">
        <f>MIN(F26,Rules!$C$16*(1+Inputs!$C$39)^(A26-1))*Rules!$C$15</f>
        <v>18517.023920494179</v>
      </c>
      <c r="K26" s="14">
        <f t="shared" si="0"/>
        <v>22094.176268771462</v>
      </c>
      <c r="L26" s="14">
        <f t="shared" si="1"/>
        <v>18517.023920494179</v>
      </c>
      <c r="M26" s="14">
        <f>Rules!$C$17*(1+Inputs!$C$39)^(A26-1)</f>
        <v>56988.946725005757</v>
      </c>
      <c r="N26" s="14">
        <f t="shared" si="2"/>
        <v>0</v>
      </c>
      <c r="O26" s="14">
        <f t="shared" si="3"/>
        <v>0</v>
      </c>
      <c r="P26" s="14">
        <f t="shared" si="4"/>
        <v>184118.13557309553</v>
      </c>
      <c r="Q26" s="14">
        <f t="shared" si="5"/>
        <v>154308.53267078483</v>
      </c>
      <c r="R26" s="14">
        <f>SUMPRODUCT(--(P26&gt;Rules!$B$7:$B$11),(P26-Rules!$B$7:$B$11),Rules!$E$7:$E$11)+P26*Rules!$C$14</f>
        <v>52876.072873507255</v>
      </c>
      <c r="S26" s="14">
        <f>SUMPRODUCT(--(Q26&gt;Rules!$B$7:$B$11),(Q26-Rules!$B$7:$B$11),Rules!$E$7:$E$11)+Q26*Rules!$C$14</f>
        <v>41250.327741606081</v>
      </c>
      <c r="T26" s="14">
        <f t="shared" si="6"/>
        <v>244300.26762876703</v>
      </c>
      <c r="U26" s="14">
        <f>Inputs!$C$20*(1+Inputs!$C$38)^(A26-1)</f>
        <v>153470.41782231999</v>
      </c>
      <c r="V26" s="14">
        <f t="shared" si="14"/>
        <v>275197.47239321552</v>
      </c>
      <c r="W26" s="14">
        <f>V26*Inputs!$C$26</f>
        <v>16236.650871199714</v>
      </c>
      <c r="X26" s="14">
        <f>IF(V26&lt;=0,0,MIN(Inputs!$C$28,V26+W26))</f>
        <v>55789.166988593286</v>
      </c>
      <c r="Y26" s="14">
        <f>IF(V26&lt;=0,0,MIN(INDEX(Inputs!$E$49:$E$52,Inputs!$C$45),MAX(0,V26+W26-X26)))</f>
        <v>0</v>
      </c>
      <c r="Z26" s="14">
        <f t="shared" si="7"/>
        <v>235644.95627582195</v>
      </c>
      <c r="AA26" s="14">
        <f t="shared" si="15"/>
        <v>1079434.9556990541</v>
      </c>
      <c r="AB26" s="14">
        <f>INDEX(Inputs!$F$49:$F$52,Inputs!$C$45)+IF(V26&lt;=0,Inputs!$C$28+INDEX(Inputs!$E$49:$E$52,Inputs!$C$45),0)</f>
        <v>23119.999999999996</v>
      </c>
      <c r="AC26" s="14">
        <f>(AA26+AB26/2)*Inputs!$C$36</f>
        <v>70914.67212043851</v>
      </c>
      <c r="AD26" s="14">
        <f t="shared" si="8"/>
        <v>1173469.6278194925</v>
      </c>
      <c r="AE26" s="14">
        <f t="shared" si="16"/>
        <v>713463.58744395967</v>
      </c>
      <c r="AF26" s="14">
        <f>K26*(1-Rules!$C$18)-MAX(0,MIN(K26,P26+K26-Rules!$C$19))*Rules!$C$20</f>
        <v>18780.049828455743</v>
      </c>
      <c r="AG26" s="14">
        <f>(AE26+AF26/2)*Inputs!$C$35</f>
        <v>50599.752865073133</v>
      </c>
      <c r="AH26" s="14">
        <f>(AE26+AF26/2)*Inputs!$C$42</f>
        <v>9758.5237668355312</v>
      </c>
      <c r="AI26" s="14">
        <f t="shared" si="9"/>
        <v>773084.86637065304</v>
      </c>
      <c r="AJ26" s="14">
        <f t="shared" si="17"/>
        <v>572080.87057693989</v>
      </c>
      <c r="AK26" s="14">
        <f>L26*(1-Rules!$C$18)-MAX(0,MIN(L26,Q26+L26-Rules!$C$19))*Rules!$C$20</f>
        <v>15739.470332420051</v>
      </c>
      <c r="AL26" s="14">
        <f>(AJ26+AK26/2)*Inputs!$C$35</f>
        <v>40596.542402020496</v>
      </c>
      <c r="AM26" s="14">
        <f>(AJ26+AK26/2)*Inputs!$C$42</f>
        <v>7829.3331775325232</v>
      </c>
      <c r="AN26" s="14">
        <f t="shared" si="10"/>
        <v>620587.55013384798</v>
      </c>
      <c r="AO26" s="14">
        <f t="shared" si="11"/>
        <v>1393672.4165045009</v>
      </c>
      <c r="AP26" s="14">
        <f t="shared" si="12"/>
        <v>2331497.0880481713</v>
      </c>
      <c r="AQ26" s="13" t="str">
        <f t="shared" si="13"/>
        <v>OK</v>
      </c>
    </row>
    <row r="27" spans="1:43" x14ac:dyDescent="0.25">
      <c r="A27" s="6">
        <v>21</v>
      </c>
      <c r="B27" s="6" t="s">
        <v>224</v>
      </c>
      <c r="C27" s="6">
        <f>Inputs!$C$7+A27-1</f>
        <v>58</v>
      </c>
      <c r="D27" s="6">
        <f>Inputs!$C$13+A27-1</f>
        <v>56</v>
      </c>
      <c r="E27" s="12">
        <f>Inputs!$C$8*(1+Inputs!$C$39)^(A27-1)</f>
        <v>189641.67964028841</v>
      </c>
      <c r="F27" s="12">
        <f>Inputs!$C$14*(1+Inputs!$C$39)^(A27-1)</f>
        <v>158937.78865090836</v>
      </c>
      <c r="G27" s="12">
        <f>INDEX(Inputs!$D$49:$D$52,Inputs!$C$45)*(1+Inputs!$C$39)^(A27-1)*E27/(E27+F27)</f>
        <v>0</v>
      </c>
      <c r="H27" s="12">
        <f>INDEX(Inputs!$D$49:$D$52,Inputs!$C$45)*(1+Inputs!$C$39)^(A27-1)*F27/(E27+F27)</f>
        <v>0</v>
      </c>
      <c r="I27" s="12">
        <f>MIN(E27,Rules!$C$16*(1+Inputs!$C$39)^(A27-1))*Rules!$C$15</f>
        <v>22757.001556834606</v>
      </c>
      <c r="J27" s="12">
        <f>MIN(F27,Rules!$C$16*(1+Inputs!$C$39)^(A27-1))*Rules!$C$15</f>
        <v>19072.534638109002</v>
      </c>
      <c r="K27" s="12">
        <f t="shared" si="0"/>
        <v>22757.001556834606</v>
      </c>
      <c r="L27" s="12">
        <f t="shared" si="1"/>
        <v>19072.534638109002</v>
      </c>
      <c r="M27" s="12">
        <f>Rules!$C$17*(1+Inputs!$C$39)^(A27-1)</f>
        <v>58698.615126755933</v>
      </c>
      <c r="N27" s="12">
        <f t="shared" si="2"/>
        <v>0</v>
      </c>
      <c r="O27" s="12">
        <f t="shared" si="3"/>
        <v>0</v>
      </c>
      <c r="P27" s="12">
        <f t="shared" si="4"/>
        <v>189641.67964028841</v>
      </c>
      <c r="Q27" s="12">
        <f t="shared" si="5"/>
        <v>158937.78865090836</v>
      </c>
      <c r="R27" s="12">
        <f>SUMPRODUCT(--(P27&gt;Rules!$B$7:$B$11),(P27-Rules!$B$7:$B$11),Rules!$E$7:$E$11)+P27*Rules!$C$14</f>
        <v>55030.255059712479</v>
      </c>
      <c r="S27" s="12">
        <f>SUMPRODUCT(--(Q27&gt;Rules!$B$7:$B$11),(Q27-Rules!$B$7:$B$11),Rules!$E$7:$E$11)+Q27*Rules!$C$14</f>
        <v>43055.737573854254</v>
      </c>
      <c r="T27" s="12">
        <f t="shared" si="6"/>
        <v>250493.47565763004</v>
      </c>
      <c r="U27" s="12">
        <f>Inputs!$C$20*(1+Inputs!$C$38)^(A27-1)</f>
        <v>157307.17826787799</v>
      </c>
      <c r="V27" s="12">
        <f t="shared" si="14"/>
        <v>235644.95627582195</v>
      </c>
      <c r="W27" s="12">
        <f>V27*Inputs!$C$26</f>
        <v>13903.052420273494</v>
      </c>
      <c r="X27" s="12">
        <f>IF(V27&lt;=0,0,MIN(Inputs!$C$28,V27+W27))</f>
        <v>55789.166988593286</v>
      </c>
      <c r="Y27" s="12">
        <f>IF(V27&lt;=0,0,MIN(INDEX(Inputs!$E$49:$E$52,Inputs!$C$45),MAX(0,V27+W27-X27)))</f>
        <v>0</v>
      </c>
      <c r="Z27" s="12">
        <f t="shared" si="7"/>
        <v>193758.84170750214</v>
      </c>
      <c r="AA27" s="12">
        <f t="shared" si="15"/>
        <v>1173469.6278194925</v>
      </c>
      <c r="AB27" s="12">
        <f>INDEX(Inputs!$F$49:$F$52,Inputs!$C$45)+IF(V27&lt;=0,Inputs!$C$28+INDEX(Inputs!$E$49:$E$52,Inputs!$C$45),0)</f>
        <v>23119.999999999996</v>
      </c>
      <c r="AC27" s="12">
        <f>(AA27+AB27/2)*Inputs!$C$36</f>
        <v>77026.925808267013</v>
      </c>
      <c r="AD27" s="12">
        <f t="shared" si="8"/>
        <v>1273616.5536277595</v>
      </c>
      <c r="AE27" s="12">
        <f t="shared" si="16"/>
        <v>773084.86637065304</v>
      </c>
      <c r="AF27" s="12">
        <f>K27*(1-Rules!$C$18)-MAX(0,MIN(K27,P27+K27-Rules!$C$19))*Rules!$C$20</f>
        <v>19343.451323309415</v>
      </c>
      <c r="AG27" s="12">
        <f>(AE27+AF27/2)*Inputs!$C$35</f>
        <v>54792.961442261549</v>
      </c>
      <c r="AH27" s="12">
        <f>(AE27+AF27/2)*Inputs!$C$42</f>
        <v>10567.213992436155</v>
      </c>
      <c r="AI27" s="12">
        <f t="shared" si="9"/>
        <v>836654.06514378788</v>
      </c>
      <c r="AJ27" s="12">
        <f t="shared" si="17"/>
        <v>620587.55013384798</v>
      </c>
      <c r="AK27" s="12">
        <f>L27*(1-Rules!$C$18)-MAX(0,MIN(L27,Q27+L27-Rules!$C$19))*Rules!$C$20</f>
        <v>16211.654442392652</v>
      </c>
      <c r="AL27" s="12">
        <f>(AJ27+AK27/2)*Inputs!$C$35</f>
        <v>44008.536414853108</v>
      </c>
      <c r="AM27" s="12">
        <f>(AJ27+AK27/2)*Inputs!$C$42</f>
        <v>8487.360594293099</v>
      </c>
      <c r="AN27" s="12">
        <f t="shared" si="10"/>
        <v>672320.38039680058</v>
      </c>
      <c r="AO27" s="12">
        <f t="shared" si="11"/>
        <v>1508974.4455405883</v>
      </c>
      <c r="AP27" s="12">
        <f t="shared" si="12"/>
        <v>2588832.1574608455</v>
      </c>
      <c r="AQ27" s="6" t="str">
        <f t="shared" si="13"/>
        <v>OK</v>
      </c>
    </row>
    <row r="28" spans="1:43" x14ac:dyDescent="0.25">
      <c r="A28" s="13">
        <v>22</v>
      </c>
      <c r="B28" s="13" t="s">
        <v>225</v>
      </c>
      <c r="C28" s="13">
        <f>Inputs!$C$7+A28-1</f>
        <v>59</v>
      </c>
      <c r="D28" s="13">
        <f>Inputs!$C$13+A28-1</f>
        <v>57</v>
      </c>
      <c r="E28" s="14">
        <f>Inputs!$C$8*(1+Inputs!$C$39)^(A28-1)</f>
        <v>195330.93002949702</v>
      </c>
      <c r="F28" s="14">
        <f>Inputs!$C$14*(1+Inputs!$C$39)^(A28-1)</f>
        <v>163705.92231043559</v>
      </c>
      <c r="G28" s="14">
        <f>INDEX(Inputs!$D$49:$D$52,Inputs!$C$45)*(1+Inputs!$C$39)^(A28-1)*E28/(E28+F28)</f>
        <v>0</v>
      </c>
      <c r="H28" s="14">
        <f>INDEX(Inputs!$D$49:$D$52,Inputs!$C$45)*(1+Inputs!$C$39)^(A28-1)*F28/(E28+F28)</f>
        <v>0</v>
      </c>
      <c r="I28" s="14">
        <f>MIN(E28,Rules!$C$16*(1+Inputs!$C$39)^(A28-1))*Rules!$C$15</f>
        <v>23439.711603539639</v>
      </c>
      <c r="J28" s="14">
        <f>MIN(F28,Rules!$C$16*(1+Inputs!$C$39)^(A28-1))*Rules!$C$15</f>
        <v>19644.710677252271</v>
      </c>
      <c r="K28" s="14">
        <f t="shared" si="0"/>
        <v>23439.711603539639</v>
      </c>
      <c r="L28" s="14">
        <f t="shared" si="1"/>
        <v>19644.710677252271</v>
      </c>
      <c r="M28" s="14">
        <f>Rules!$C$17*(1+Inputs!$C$39)^(A28-1)</f>
        <v>60459.573580558601</v>
      </c>
      <c r="N28" s="14">
        <f t="shared" si="2"/>
        <v>0</v>
      </c>
      <c r="O28" s="14">
        <f t="shared" si="3"/>
        <v>0</v>
      </c>
      <c r="P28" s="14">
        <f t="shared" si="4"/>
        <v>195330.93002949702</v>
      </c>
      <c r="Q28" s="14">
        <f t="shared" si="5"/>
        <v>163705.92231043559</v>
      </c>
      <c r="R28" s="14">
        <f>SUMPRODUCT(--(P28&gt;Rules!$B$7:$B$11),(P28-Rules!$B$7:$B$11),Rules!$E$7:$E$11)+P28*Rules!$C$14</f>
        <v>57675.537113863596</v>
      </c>
      <c r="S28" s="14">
        <f>SUMPRODUCT(--(Q28&gt;Rules!$B$7:$B$11),(Q28-Rules!$B$7:$B$11),Rules!$E$7:$E$11)+Q28*Rules!$C$14</f>
        <v>44915.309701069877</v>
      </c>
      <c r="T28" s="14">
        <f t="shared" si="6"/>
        <v>256446.00552499914</v>
      </c>
      <c r="U28" s="14">
        <f>Inputs!$C$20*(1+Inputs!$C$38)^(A28-1)</f>
        <v>161239.85772457492</v>
      </c>
      <c r="V28" s="14">
        <f t="shared" si="14"/>
        <v>193758.84170750214</v>
      </c>
      <c r="W28" s="14">
        <f>V28*Inputs!$C$26</f>
        <v>11431.771660742626</v>
      </c>
      <c r="X28" s="14">
        <f>IF(V28&lt;=0,0,MIN(Inputs!$C$28,V28+W28))</f>
        <v>55789.166988593286</v>
      </c>
      <c r="Y28" s="14">
        <f>IF(V28&lt;=0,0,MIN(INDEX(Inputs!$E$49:$E$52,Inputs!$C$45),MAX(0,V28+W28-X28)))</f>
        <v>0</v>
      </c>
      <c r="Z28" s="14">
        <f t="shared" si="7"/>
        <v>149401.44637965149</v>
      </c>
      <c r="AA28" s="14">
        <f t="shared" si="15"/>
        <v>1273616.5536277595</v>
      </c>
      <c r="AB28" s="14">
        <f>INDEX(Inputs!$F$49:$F$52,Inputs!$C$45)+IF(V28&lt;=0,Inputs!$C$28+INDEX(Inputs!$E$49:$E$52,Inputs!$C$45),0)</f>
        <v>23119.999999999996</v>
      </c>
      <c r="AC28" s="14">
        <f>(AA28+AB28/2)*Inputs!$C$36</f>
        <v>83536.475985804369</v>
      </c>
      <c r="AD28" s="14">
        <f t="shared" si="8"/>
        <v>1380273.0296135638</v>
      </c>
      <c r="AE28" s="14">
        <f t="shared" si="16"/>
        <v>836654.06514378788</v>
      </c>
      <c r="AF28" s="14">
        <f>K28*(1-Rules!$C$18)-MAX(0,MIN(K28,P28+K28-Rules!$C$19))*Rules!$C$20</f>
        <v>19923.754863008693</v>
      </c>
      <c r="AG28" s="14">
        <f>(AE28+AF28/2)*Inputs!$C$35</f>
        <v>59263.115980270457</v>
      </c>
      <c r="AH28" s="14">
        <f>(AE28+AF28/2)*Inputs!$C$42</f>
        <v>11429.315224766444</v>
      </c>
      <c r="AI28" s="14">
        <f t="shared" si="9"/>
        <v>904411.62076230056</v>
      </c>
      <c r="AJ28" s="14">
        <f t="shared" si="17"/>
        <v>672320.38039680058</v>
      </c>
      <c r="AK28" s="14">
        <f>L28*(1-Rules!$C$18)-MAX(0,MIN(L28,Q28+L28-Rules!$C$19))*Rules!$C$20</f>
        <v>16698.00407566443</v>
      </c>
      <c r="AL28" s="14">
        <f>(AJ28+AK28/2)*Inputs!$C$35</f>
        <v>47646.856770424296</v>
      </c>
      <c r="AM28" s="14">
        <f>(AJ28+AK28/2)*Inputs!$C$42</f>
        <v>9189.036662867542</v>
      </c>
      <c r="AN28" s="14">
        <f t="shared" si="10"/>
        <v>727476.20458002179</v>
      </c>
      <c r="AO28" s="14">
        <f t="shared" si="11"/>
        <v>1631887.8253423222</v>
      </c>
      <c r="AP28" s="14">
        <f t="shared" si="12"/>
        <v>2862759.4085762347</v>
      </c>
      <c r="AQ28" s="13" t="str">
        <f t="shared" si="13"/>
        <v>OK</v>
      </c>
    </row>
    <row r="29" spans="1:43" x14ac:dyDescent="0.25">
      <c r="A29" s="6">
        <v>23</v>
      </c>
      <c r="B29" s="6" t="s">
        <v>226</v>
      </c>
      <c r="C29" s="6">
        <f>Inputs!$C$7+A29-1</f>
        <v>60</v>
      </c>
      <c r="D29" s="6">
        <f>Inputs!$C$13+A29-1</f>
        <v>58</v>
      </c>
      <c r="E29" s="12">
        <f>Inputs!$C$8*(1+Inputs!$C$39)^(A29-1)</f>
        <v>201190.85793038196</v>
      </c>
      <c r="F29" s="12">
        <f>Inputs!$C$14*(1+Inputs!$C$39)^(A29-1)</f>
        <v>168617.09997974869</v>
      </c>
      <c r="G29" s="12">
        <f>INDEX(Inputs!$D$49:$D$52,Inputs!$C$45)*(1+Inputs!$C$39)^(A29-1)*E29/(E29+F29)</f>
        <v>0</v>
      </c>
      <c r="H29" s="12">
        <f>INDEX(Inputs!$D$49:$D$52,Inputs!$C$45)*(1+Inputs!$C$39)^(A29-1)*F29/(E29+F29)</f>
        <v>0</v>
      </c>
      <c r="I29" s="12">
        <f>MIN(E29,Rules!$C$16*(1+Inputs!$C$39)^(A29-1))*Rules!$C$15</f>
        <v>24142.902951645832</v>
      </c>
      <c r="J29" s="12">
        <f>MIN(F29,Rules!$C$16*(1+Inputs!$C$39)^(A29-1))*Rules!$C$15</f>
        <v>20234.051997569841</v>
      </c>
      <c r="K29" s="12">
        <f t="shared" si="0"/>
        <v>24142.902951645832</v>
      </c>
      <c r="L29" s="12">
        <f t="shared" si="1"/>
        <v>20234.051997569841</v>
      </c>
      <c r="M29" s="12">
        <f>Rules!$C$17*(1+Inputs!$C$39)^(A29-1)</f>
        <v>62273.360787975362</v>
      </c>
      <c r="N29" s="12">
        <f t="shared" si="2"/>
        <v>0</v>
      </c>
      <c r="O29" s="12">
        <f t="shared" si="3"/>
        <v>0</v>
      </c>
      <c r="P29" s="12">
        <f t="shared" si="4"/>
        <v>201190.85793038196</v>
      </c>
      <c r="Q29" s="12">
        <f t="shared" si="5"/>
        <v>168617.09997974869</v>
      </c>
      <c r="R29" s="12">
        <f>SUMPRODUCT(--(P29&gt;Rules!$B$7:$B$11),(P29-Rules!$B$7:$B$11),Rules!$E$7:$E$11)+P29*Rules!$C$14</f>
        <v>60429.703227279519</v>
      </c>
      <c r="S29" s="12">
        <f>SUMPRODUCT(--(Q29&gt;Rules!$B$7:$B$11),(Q29-Rules!$B$7:$B$11),Rules!$E$7:$E$11)+Q29*Rules!$C$14</f>
        <v>46830.668992101986</v>
      </c>
      <c r="T29" s="12">
        <f t="shared" si="6"/>
        <v>262547.58569074911</v>
      </c>
      <c r="U29" s="12">
        <f>Inputs!$C$20*(1+Inputs!$C$38)^(A29-1)</f>
        <v>165270.85416768928</v>
      </c>
      <c r="V29" s="12">
        <f t="shared" si="14"/>
        <v>149401.44637965149</v>
      </c>
      <c r="W29" s="12">
        <f>V29*Inputs!$C$26</f>
        <v>8814.6853363994378</v>
      </c>
      <c r="X29" s="12">
        <f>IF(V29&lt;=0,0,MIN(Inputs!$C$28,V29+W29))</f>
        <v>55789.166988593286</v>
      </c>
      <c r="Y29" s="12">
        <f>IF(V29&lt;=0,0,MIN(INDEX(Inputs!$E$49:$E$52,Inputs!$C$45),MAX(0,V29+W29-X29)))</f>
        <v>0</v>
      </c>
      <c r="Z29" s="12">
        <f t="shared" si="7"/>
        <v>102426.96472745764</v>
      </c>
      <c r="AA29" s="12">
        <f t="shared" si="15"/>
        <v>1380273.0296135638</v>
      </c>
      <c r="AB29" s="12">
        <f>INDEX(Inputs!$F$49:$F$52,Inputs!$C$45)+IF(V29&lt;=0,Inputs!$C$28+INDEX(Inputs!$E$49:$E$52,Inputs!$C$45),0)</f>
        <v>23119.999999999996</v>
      </c>
      <c r="AC29" s="12">
        <f>(AA29+AB29/2)*Inputs!$C$36</f>
        <v>90469.146924881643</v>
      </c>
      <c r="AD29" s="12">
        <f t="shared" si="8"/>
        <v>1493862.1765384455</v>
      </c>
      <c r="AE29" s="12">
        <f t="shared" si="16"/>
        <v>904411.62076230056</v>
      </c>
      <c r="AF29" s="12">
        <f>K29*(1-Rules!$C$18)-MAX(0,MIN(K29,P29+K29-Rules!$C$19))*Rules!$C$20</f>
        <v>20521.467508898957</v>
      </c>
      <c r="AG29" s="12">
        <f>(AE29+AF29/2)*Inputs!$C$35</f>
        <v>64027.064816172511</v>
      </c>
      <c r="AH29" s="12">
        <f>(AE29+AF29/2)*Inputs!$C$42</f>
        <v>12348.076785976125</v>
      </c>
      <c r="AI29" s="12">
        <f t="shared" si="9"/>
        <v>976612.07630139589</v>
      </c>
      <c r="AJ29" s="12">
        <f t="shared" si="17"/>
        <v>727476.20458002179</v>
      </c>
      <c r="AK29" s="12">
        <f>L29*(1-Rules!$C$18)-MAX(0,MIN(L29,Q29+L29-Rules!$C$19))*Rules!$C$20</f>
        <v>17198.944197934365</v>
      </c>
      <c r="AL29" s="12">
        <f>(AJ29+AK29/2)*Inputs!$C$35</f>
        <v>51525.297367529231</v>
      </c>
      <c r="AM29" s="12">
        <f>(AJ29+AK29/2)*Inputs!$C$42</f>
        <v>9937.0216351663512</v>
      </c>
      <c r="AN29" s="12">
        <f t="shared" si="10"/>
        <v>786263.42451031902</v>
      </c>
      <c r="AO29" s="12">
        <f t="shared" si="11"/>
        <v>1762875.5008117149</v>
      </c>
      <c r="AP29" s="12">
        <f t="shared" si="12"/>
        <v>3154310.7126227031</v>
      </c>
      <c r="AQ29" s="6" t="str">
        <f t="shared" si="13"/>
        <v>OK</v>
      </c>
    </row>
    <row r="30" spans="1:43" x14ac:dyDescent="0.25">
      <c r="A30" s="13">
        <v>24</v>
      </c>
      <c r="B30" s="13" t="s">
        <v>227</v>
      </c>
      <c r="C30" s="13">
        <f>Inputs!$C$7+A30-1</f>
        <v>61</v>
      </c>
      <c r="D30" s="13">
        <f>Inputs!$C$13+A30-1</f>
        <v>59</v>
      </c>
      <c r="E30" s="14">
        <f>Inputs!$C$8*(1+Inputs!$C$39)^(A30-1)</f>
        <v>207226.58366829343</v>
      </c>
      <c r="F30" s="14">
        <f>Inputs!$C$14*(1+Inputs!$C$39)^(A30-1)</f>
        <v>173675.61297914115</v>
      </c>
      <c r="G30" s="14">
        <f>INDEX(Inputs!$D$49:$D$52,Inputs!$C$45)*(1+Inputs!$C$39)^(A30-1)*E30/(E30+F30)</f>
        <v>0</v>
      </c>
      <c r="H30" s="14">
        <f>INDEX(Inputs!$D$49:$D$52,Inputs!$C$45)*(1+Inputs!$C$39)^(A30-1)*F30/(E30+F30)</f>
        <v>0</v>
      </c>
      <c r="I30" s="14">
        <f>MIN(E30,Rules!$C$16*(1+Inputs!$C$39)^(A30-1))*Rules!$C$15</f>
        <v>24867.190040195212</v>
      </c>
      <c r="J30" s="14">
        <f>MIN(F30,Rules!$C$16*(1+Inputs!$C$39)^(A30-1))*Rules!$C$15</f>
        <v>20841.073557496937</v>
      </c>
      <c r="K30" s="14">
        <f t="shared" si="0"/>
        <v>24867.190040195212</v>
      </c>
      <c r="L30" s="14">
        <f t="shared" si="1"/>
        <v>20841.073557496937</v>
      </c>
      <c r="M30" s="14">
        <f>Rules!$C$17*(1+Inputs!$C$39)^(A30-1)</f>
        <v>64141.561611614627</v>
      </c>
      <c r="N30" s="14">
        <f t="shared" si="2"/>
        <v>0</v>
      </c>
      <c r="O30" s="14">
        <f t="shared" si="3"/>
        <v>0</v>
      </c>
      <c r="P30" s="14">
        <f t="shared" si="4"/>
        <v>207226.58366829343</v>
      </c>
      <c r="Q30" s="14">
        <f t="shared" si="5"/>
        <v>173675.61297914115</v>
      </c>
      <c r="R30" s="14">
        <f>SUMPRODUCT(--(P30&gt;Rules!$B$7:$B$11),(P30-Rules!$B$7:$B$11),Rules!$E$7:$E$11)+P30*Rules!$C$14</f>
        <v>63266.494324097919</v>
      </c>
      <c r="S30" s="14">
        <f>SUMPRODUCT(--(Q30&gt;Rules!$B$7:$B$11),(Q30-Rules!$B$7:$B$11),Rules!$E$7:$E$11)+Q30*Rules!$C$14</f>
        <v>48803.489061865046</v>
      </c>
      <c r="T30" s="14">
        <f t="shared" si="6"/>
        <v>268832.2132614716</v>
      </c>
      <c r="U30" s="14">
        <f>Inputs!$C$20*(1+Inputs!$C$38)^(A30-1)</f>
        <v>169402.62552188151</v>
      </c>
      <c r="V30" s="14">
        <f t="shared" si="14"/>
        <v>102426.96472745764</v>
      </c>
      <c r="W30" s="14">
        <f>V30*Inputs!$C$26</f>
        <v>6043.1909189200005</v>
      </c>
      <c r="X30" s="14">
        <f>IF(V30&lt;=0,0,MIN(Inputs!$C$28,V30+W30))</f>
        <v>55789.166988593286</v>
      </c>
      <c r="Y30" s="14">
        <f>IF(V30&lt;=0,0,MIN(INDEX(Inputs!$E$49:$E$52,Inputs!$C$45),MAX(0,V30+W30-X30)))</f>
        <v>0</v>
      </c>
      <c r="Z30" s="14">
        <f t="shared" si="7"/>
        <v>52680.98865778435</v>
      </c>
      <c r="AA30" s="14">
        <f t="shared" si="15"/>
        <v>1493862.1765384455</v>
      </c>
      <c r="AB30" s="14">
        <f>INDEX(Inputs!$F$49:$F$52,Inputs!$C$45)+IF(V30&lt;=0,Inputs!$C$28+INDEX(Inputs!$E$49:$E$52,Inputs!$C$45),0)</f>
        <v>23119.999999999996</v>
      </c>
      <c r="AC30" s="14">
        <f>(AA30+AB30/2)*Inputs!$C$36</f>
        <v>97852.441474998966</v>
      </c>
      <c r="AD30" s="14">
        <f t="shared" si="8"/>
        <v>1614834.6180134446</v>
      </c>
      <c r="AE30" s="14">
        <f t="shared" si="16"/>
        <v>976612.07630139589</v>
      </c>
      <c r="AF30" s="14">
        <f>K30*(1-Rules!$C$18)-MAX(0,MIN(K30,P30+K30-Rules!$C$19))*Rules!$C$20</f>
        <v>21137.111534165928</v>
      </c>
      <c r="AG30" s="14">
        <f>(AE30+AF30/2)*Inputs!$C$35</f>
        <v>69102.644244793526</v>
      </c>
      <c r="AH30" s="14">
        <f>(AE30+AF30/2)*Inputs!$C$42</f>
        <v>13326.938532924465</v>
      </c>
      <c r="AI30" s="14">
        <f t="shared" si="9"/>
        <v>1053524.8935474309</v>
      </c>
      <c r="AJ30" s="14">
        <f t="shared" si="17"/>
        <v>786263.42451031902</v>
      </c>
      <c r="AK30" s="14">
        <f>L30*(1-Rules!$C$18)-MAX(0,MIN(L30,Q30+L30-Rules!$C$19))*Rules!$C$20</f>
        <v>17714.912523872397</v>
      </c>
      <c r="AL30" s="14">
        <f>(AJ30+AK30/2)*Inputs!$C$35</f>
        <v>55658.461654057872</v>
      </c>
      <c r="AM30" s="14">
        <f>(AJ30+AK30/2)*Inputs!$C$42</f>
        <v>10734.131890425446</v>
      </c>
      <c r="AN30" s="14">
        <f t="shared" si="10"/>
        <v>848902.66679782385</v>
      </c>
      <c r="AO30" s="14">
        <f t="shared" si="11"/>
        <v>1902427.5603452548</v>
      </c>
      <c r="AP30" s="14">
        <f t="shared" si="12"/>
        <v>3464581.189700915</v>
      </c>
      <c r="AQ30" s="13" t="str">
        <f t="shared" si="13"/>
        <v>OK</v>
      </c>
    </row>
    <row r="31" spans="1:43" x14ac:dyDescent="0.25">
      <c r="A31" s="6">
        <v>25</v>
      </c>
      <c r="B31" s="6" t="s">
        <v>228</v>
      </c>
      <c r="C31" s="6">
        <f>Inputs!$C$7+A31-1</f>
        <v>62</v>
      </c>
      <c r="D31" s="6">
        <f>Inputs!$C$13+A31-1</f>
        <v>60</v>
      </c>
      <c r="E31" s="12">
        <f>Inputs!$C$8*(1+Inputs!$C$39)^(A31-1)</f>
        <v>213443.38117834218</v>
      </c>
      <c r="F31" s="12">
        <f>Inputs!$C$14*(1+Inputs!$C$39)^(A31-1)</f>
        <v>178885.88136851537</v>
      </c>
      <c r="G31" s="12">
        <f>INDEX(Inputs!$D$49:$D$52,Inputs!$C$45)*(1+Inputs!$C$39)^(A31-1)*E31/(E31+F31)</f>
        <v>0</v>
      </c>
      <c r="H31" s="12">
        <f>INDEX(Inputs!$D$49:$D$52,Inputs!$C$45)*(1+Inputs!$C$39)^(A31-1)*F31/(E31+F31)</f>
        <v>0</v>
      </c>
      <c r="I31" s="12">
        <f>MIN(E31,Rules!$C$16*(1+Inputs!$C$39)^(A31-1))*Rules!$C$15</f>
        <v>25613.20574140106</v>
      </c>
      <c r="J31" s="12">
        <f>MIN(F31,Rules!$C$16*(1+Inputs!$C$39)^(A31-1))*Rules!$C$15</f>
        <v>21466.305764221845</v>
      </c>
      <c r="K31" s="12">
        <f t="shared" si="0"/>
        <v>25613.20574140106</v>
      </c>
      <c r="L31" s="12">
        <f t="shared" si="1"/>
        <v>21466.305764221845</v>
      </c>
      <c r="M31" s="12">
        <f>Rules!$C$17*(1+Inputs!$C$39)^(A31-1)</f>
        <v>66065.808459963053</v>
      </c>
      <c r="N31" s="12">
        <f t="shared" si="2"/>
        <v>0</v>
      </c>
      <c r="O31" s="12">
        <f t="shared" si="3"/>
        <v>0</v>
      </c>
      <c r="P31" s="12">
        <f t="shared" si="4"/>
        <v>213443.38117834218</v>
      </c>
      <c r="Q31" s="12">
        <f t="shared" si="5"/>
        <v>178885.88136851537</v>
      </c>
      <c r="R31" s="12">
        <f>SUMPRODUCT(--(P31&gt;Rules!$B$7:$B$11),(P31-Rules!$B$7:$B$11),Rules!$E$7:$E$11)+P31*Rules!$C$14</f>
        <v>66188.389153820826</v>
      </c>
      <c r="S31" s="12">
        <f>SUMPRODUCT(--(Q31&gt;Rules!$B$7:$B$11),(Q31-Rules!$B$7:$B$11),Rules!$E$7:$E$11)+Q31*Rules!$C$14</f>
        <v>50835.493733720999</v>
      </c>
      <c r="T31" s="12">
        <f t="shared" si="6"/>
        <v>275305.37965931569</v>
      </c>
      <c r="U31" s="12">
        <f>Inputs!$C$20*(1+Inputs!$C$38)^(A31-1)</f>
        <v>173637.69115992854</v>
      </c>
      <c r="V31" s="12">
        <f t="shared" si="14"/>
        <v>52680.98865778435</v>
      </c>
      <c r="W31" s="12">
        <f>V31*Inputs!$C$26</f>
        <v>3108.1783308092763</v>
      </c>
      <c r="X31" s="12">
        <f>IF(V31&lt;=0,0,MIN(Inputs!$C$28,V31+W31))</f>
        <v>55789.166988593286</v>
      </c>
      <c r="Y31" s="12">
        <f>IF(V31&lt;=0,0,MIN(INDEX(Inputs!$E$49:$E$52,Inputs!$C$45),MAX(0,V31+W31-X31)))</f>
        <v>0</v>
      </c>
      <c r="Z31" s="12">
        <f t="shared" si="7"/>
        <v>3.4197000786662102E-10</v>
      </c>
      <c r="AA31" s="12">
        <f t="shared" si="15"/>
        <v>1614834.6180134446</v>
      </c>
      <c r="AB31" s="12">
        <f>INDEX(Inputs!$F$49:$F$52,Inputs!$C$45)+IF(V31&lt;=0,Inputs!$C$28+INDEX(Inputs!$E$49:$E$52,Inputs!$C$45),0)</f>
        <v>23119.999999999996</v>
      </c>
      <c r="AC31" s="12">
        <f>(AA31+AB31/2)*Inputs!$C$36</f>
        <v>105715.65017087391</v>
      </c>
      <c r="AD31" s="12">
        <f t="shared" si="8"/>
        <v>1743670.2681843184</v>
      </c>
      <c r="AE31" s="12">
        <f t="shared" si="16"/>
        <v>1053524.8935474309</v>
      </c>
      <c r="AF31" s="12">
        <f>K31*(1-Rules!$C$18)-MAX(0,MIN(K31,P31+K31-Rules!$C$19))*Rules!$C$20</f>
        <v>21771.224880190901</v>
      </c>
      <c r="AG31" s="12">
        <f>(AE31+AF31/2)*Inputs!$C$35</f>
        <v>74508.735419126853</v>
      </c>
      <c r="AH31" s="12">
        <f>(AE31+AF31/2)*Inputs!$C$42</f>
        <v>14369.541830831606</v>
      </c>
      <c r="AI31" s="12">
        <f t="shared" si="9"/>
        <v>1135435.3120159169</v>
      </c>
      <c r="AJ31" s="12">
        <f t="shared" si="17"/>
        <v>848902.66679782385</v>
      </c>
      <c r="AK31" s="12">
        <f>L31*(1-Rules!$C$18)-MAX(0,MIN(L31,Q31+L31-Rules!$C$19))*Rules!$C$20</f>
        <v>18246.359899588566</v>
      </c>
      <c r="AL31" s="12">
        <f>(AJ31+AK31/2)*Inputs!$C$35</f>
        <v>60061.809272333281</v>
      </c>
      <c r="AM31" s="12">
        <f>(AJ31+AK31/2)*Inputs!$C$42</f>
        <v>11583.348931092845</v>
      </c>
      <c r="AN31" s="12">
        <f t="shared" si="10"/>
        <v>915627.48703865276</v>
      </c>
      <c r="AO31" s="12">
        <f t="shared" si="11"/>
        <v>2051062.7990545696</v>
      </c>
      <c r="AP31" s="12">
        <f t="shared" si="12"/>
        <v>3794733.0672388873</v>
      </c>
      <c r="AQ31" s="6" t="str">
        <f t="shared" si="13"/>
        <v>OK</v>
      </c>
    </row>
    <row r="32" spans="1:43" x14ac:dyDescent="0.25">
      <c r="A32" s="13">
        <v>26</v>
      </c>
      <c r="B32" s="13" t="s">
        <v>229</v>
      </c>
      <c r="C32" s="13">
        <f>Inputs!$C$7+A32-1</f>
        <v>63</v>
      </c>
      <c r="D32" s="13">
        <f>Inputs!$C$13+A32-1</f>
        <v>61</v>
      </c>
      <c r="E32" s="14">
        <f>Inputs!$C$8*(1+Inputs!$C$39)^(A32-1)</f>
        <v>219846.68261369245</v>
      </c>
      <c r="F32" s="14">
        <f>Inputs!$C$14*(1+Inputs!$C$39)^(A32-1)</f>
        <v>184252.45780957083</v>
      </c>
      <c r="G32" s="14">
        <f>INDEX(Inputs!$D$49:$D$52,Inputs!$C$45)*(1+Inputs!$C$39)^(A32-1)*E32/(E32+F32)</f>
        <v>0</v>
      </c>
      <c r="H32" s="14">
        <f>INDEX(Inputs!$D$49:$D$52,Inputs!$C$45)*(1+Inputs!$C$39)^(A32-1)*F32/(E32+F32)</f>
        <v>0</v>
      </c>
      <c r="I32" s="14">
        <f>MIN(E32,Rules!$C$16*(1+Inputs!$C$39)^(A32-1))*Rules!$C$15</f>
        <v>26381.601913643091</v>
      </c>
      <c r="J32" s="14">
        <f>MIN(F32,Rules!$C$16*(1+Inputs!$C$39)^(A32-1))*Rules!$C$15</f>
        <v>22110.294937148497</v>
      </c>
      <c r="K32" s="14">
        <f t="shared" si="0"/>
        <v>26381.601913643091</v>
      </c>
      <c r="L32" s="14">
        <f t="shared" si="1"/>
        <v>22110.294937148497</v>
      </c>
      <c r="M32" s="14">
        <f>Rules!$C$17*(1+Inputs!$C$39)^(A32-1)</f>
        <v>68047.782713761946</v>
      </c>
      <c r="N32" s="14">
        <f t="shared" si="2"/>
        <v>0</v>
      </c>
      <c r="O32" s="14">
        <f t="shared" si="3"/>
        <v>0</v>
      </c>
      <c r="P32" s="14">
        <f t="shared" si="4"/>
        <v>219846.68261369245</v>
      </c>
      <c r="Q32" s="14">
        <f t="shared" si="5"/>
        <v>184252.45780957083</v>
      </c>
      <c r="R32" s="14">
        <f>SUMPRODUCT(--(P32&gt;Rules!$B$7:$B$11),(P32-Rules!$B$7:$B$11),Rules!$E$7:$E$11)+P32*Rules!$C$14</f>
        <v>69197.940828435443</v>
      </c>
      <c r="S32" s="14">
        <f>SUMPRODUCT(--(Q32&gt;Rules!$B$7:$B$11),(Q32-Rules!$B$7:$B$11),Rules!$E$7:$E$11)+Q32*Rules!$C$14</f>
        <v>52928.458545732617</v>
      </c>
      <c r="T32" s="14">
        <f t="shared" si="6"/>
        <v>281972.74104909523</v>
      </c>
      <c r="U32" s="14">
        <f>Inputs!$C$20*(1+Inputs!$C$38)^(A32-1)</f>
        <v>177978.63343892671</v>
      </c>
      <c r="V32" s="14">
        <f t="shared" si="14"/>
        <v>3.4197000786662102E-10</v>
      </c>
      <c r="W32" s="14">
        <f>V32*Inputs!$C$26</f>
        <v>2.0176230464130638E-11</v>
      </c>
      <c r="X32" s="14">
        <f>IF(V32&lt;=0,0,MIN(Inputs!$C$28,V32+W32))</f>
        <v>3.6214623833075163E-10</v>
      </c>
      <c r="Y32" s="14">
        <f>IF(V32&lt;=0,0,MIN(INDEX(Inputs!$E$49:$E$52,Inputs!$C$45),MAX(0,V32+W32-X32)))</f>
        <v>0</v>
      </c>
      <c r="Z32" s="14">
        <f t="shared" si="7"/>
        <v>0</v>
      </c>
      <c r="AA32" s="14">
        <f t="shared" si="15"/>
        <v>1743670.2681843184</v>
      </c>
      <c r="AB32" s="14">
        <f>INDEX(Inputs!$F$49:$F$52,Inputs!$C$45)+IF(V32&lt;=0,Inputs!$C$28+INDEX(Inputs!$E$49:$E$52,Inputs!$C$45),0)</f>
        <v>23119.999999999996</v>
      </c>
      <c r="AC32" s="14">
        <f>(AA32+AB32/2)*Inputs!$C$36</f>
        <v>114089.96743198071</v>
      </c>
      <c r="AD32" s="14">
        <f t="shared" si="8"/>
        <v>1880880.2356162991</v>
      </c>
      <c r="AE32" s="14">
        <f t="shared" si="16"/>
        <v>1135435.3120159169</v>
      </c>
      <c r="AF32" s="14">
        <f>K32*(1-Rules!$C$18)-MAX(0,MIN(K32,P32+K32-Rules!$C$19))*Rules!$C$20</f>
        <v>22424.361626596627</v>
      </c>
      <c r="AG32" s="14">
        <f>(AE32+AF32/2)*Inputs!$C$35</f>
        <v>80265.324498045069</v>
      </c>
      <c r="AH32" s="14">
        <f>(AE32+AF32/2)*Inputs!$C$42</f>
        <v>15479.741153194405</v>
      </c>
      <c r="AI32" s="14">
        <f t="shared" si="9"/>
        <v>1222645.2569873643</v>
      </c>
      <c r="AJ32" s="14">
        <f t="shared" si="17"/>
        <v>915627.48703865276</v>
      </c>
      <c r="AK32" s="14">
        <f>L32*(1-Rules!$C$18)-MAX(0,MIN(L32,Q32+L32-Rules!$C$19))*Rules!$C$20</f>
        <v>18793.750696576222</v>
      </c>
      <c r="AL32" s="14">
        <f>(AJ32+AK32/2)*Inputs!$C$35</f>
        <v>64751.705367085866</v>
      </c>
      <c r="AM32" s="14">
        <f>(AJ32+AK32/2)*Inputs!$C$42</f>
        <v>12487.828892223701</v>
      </c>
      <c r="AN32" s="14">
        <f t="shared" si="10"/>
        <v>986685.11421009118</v>
      </c>
      <c r="AO32" s="14">
        <f t="shared" si="11"/>
        <v>2209330.3711974556</v>
      </c>
      <c r="AP32" s="14">
        <f t="shared" si="12"/>
        <v>4090210.6068137549</v>
      </c>
      <c r="AQ32" s="13" t="str">
        <f t="shared" si="13"/>
        <v>OK</v>
      </c>
    </row>
    <row r="33" spans="1:43" x14ac:dyDescent="0.25">
      <c r="A33" s="6">
        <v>27</v>
      </c>
      <c r="B33" s="6" t="s">
        <v>230</v>
      </c>
      <c r="C33" s="6">
        <f>Inputs!$C$7+A33-1</f>
        <v>64</v>
      </c>
      <c r="D33" s="6">
        <f>Inputs!$C$13+A33-1</f>
        <v>62</v>
      </c>
      <c r="E33" s="12">
        <f>Inputs!$C$8*(1+Inputs!$C$39)^(A33-1)</f>
        <v>226442.08309210325</v>
      </c>
      <c r="F33" s="12">
        <f>Inputs!$C$14*(1+Inputs!$C$39)^(A33-1)</f>
        <v>189780.03154385797</v>
      </c>
      <c r="G33" s="12">
        <f>INDEX(Inputs!$D$49:$D$52,Inputs!$C$45)*(1+Inputs!$C$39)^(A33-1)*E33/(E33+F33)</f>
        <v>0</v>
      </c>
      <c r="H33" s="12">
        <f>INDEX(Inputs!$D$49:$D$52,Inputs!$C$45)*(1+Inputs!$C$39)^(A33-1)*F33/(E33+F33)</f>
        <v>0</v>
      </c>
      <c r="I33" s="12">
        <f>MIN(E33,Rules!$C$16*(1+Inputs!$C$39)^(A33-1))*Rules!$C$15</f>
        <v>27173.049971052387</v>
      </c>
      <c r="J33" s="12">
        <f>MIN(F33,Rules!$C$16*(1+Inputs!$C$39)^(A33-1))*Rules!$C$15</f>
        <v>22773.603785262956</v>
      </c>
      <c r="K33" s="12">
        <f t="shared" si="0"/>
        <v>27173.049971052387</v>
      </c>
      <c r="L33" s="12">
        <f t="shared" si="1"/>
        <v>22773.603785262956</v>
      </c>
      <c r="M33" s="12">
        <f>Rules!$C$17*(1+Inputs!$C$39)^(A33-1)</f>
        <v>70089.216195174813</v>
      </c>
      <c r="N33" s="12">
        <f t="shared" si="2"/>
        <v>0</v>
      </c>
      <c r="O33" s="12">
        <f t="shared" si="3"/>
        <v>0</v>
      </c>
      <c r="P33" s="12">
        <f t="shared" si="4"/>
        <v>226442.08309210325</v>
      </c>
      <c r="Q33" s="12">
        <f t="shared" si="5"/>
        <v>189780.03154385797</v>
      </c>
      <c r="R33" s="12">
        <f>SUMPRODUCT(--(P33&gt;Rules!$B$7:$B$11),(P33-Rules!$B$7:$B$11),Rules!$E$7:$E$11)+P33*Rules!$C$14</f>
        <v>72297.779053288512</v>
      </c>
      <c r="S33" s="12">
        <f>SUMPRODUCT(--(Q33&gt;Rules!$B$7:$B$11),(Q33-Rules!$B$7:$B$11),Rules!$E$7:$E$11)+Q33*Rules!$C$14</f>
        <v>55084.212302104606</v>
      </c>
      <c r="T33" s="12">
        <f t="shared" si="6"/>
        <v>288840.12328056811</v>
      </c>
      <c r="U33" s="12">
        <f>Inputs!$C$20*(1+Inputs!$C$38)^(A33-1)</f>
        <v>182428.09927489987</v>
      </c>
      <c r="V33" s="12">
        <f t="shared" si="14"/>
        <v>0</v>
      </c>
      <c r="W33" s="12">
        <f>V33*Inputs!$C$26</f>
        <v>0</v>
      </c>
      <c r="X33" s="12">
        <f>IF(V33&lt;=0,0,MIN(Inputs!$C$28,V33+W33))</f>
        <v>0</v>
      </c>
      <c r="Y33" s="12">
        <f>IF(V33&lt;=0,0,MIN(INDEX(Inputs!$E$49:$E$52,Inputs!$C$45),MAX(0,V33+W33-X33)))</f>
        <v>0</v>
      </c>
      <c r="Z33" s="12">
        <f t="shared" si="7"/>
        <v>0</v>
      </c>
      <c r="AA33" s="12">
        <f t="shared" si="15"/>
        <v>1880880.2356162991</v>
      </c>
      <c r="AB33" s="12">
        <f>INDEX(Inputs!$F$49:$F$52,Inputs!$C$45)+IF(V33&lt;=0,Inputs!$C$28+INDEX(Inputs!$E$49:$E$52,Inputs!$C$45),0)</f>
        <v>78909.166988593279</v>
      </c>
      <c r="AC33" s="12">
        <f>(AA33+AB33/2)*Inputs!$C$36</f>
        <v>124821.76324218872</v>
      </c>
      <c r="AD33" s="12">
        <f t="shared" si="8"/>
        <v>2084611.1658470812</v>
      </c>
      <c r="AE33" s="12">
        <f t="shared" si="16"/>
        <v>1222645.2569873643</v>
      </c>
      <c r="AF33" s="12">
        <f>K33*(1-Rules!$C$18)-MAX(0,MIN(K33,P33+K33-Rules!$C$19))*Rules!$C$20</f>
        <v>22554.822515921183</v>
      </c>
      <c r="AG33" s="12">
        <f>(AE33+AF33/2)*Inputs!$C$35</f>
        <v>86374.58677717275</v>
      </c>
      <c r="AH33" s="12">
        <f>(AE33+AF33/2)*Inputs!$C$42</f>
        <v>16657.956021311886</v>
      </c>
      <c r="AI33" s="12">
        <f t="shared" si="9"/>
        <v>1314916.7102591463</v>
      </c>
      <c r="AJ33" s="12">
        <f t="shared" si="17"/>
        <v>986685.11421009118</v>
      </c>
      <c r="AK33" s="12">
        <f>L33*(1-Rules!$C$18)-MAX(0,MIN(L33,Q33+L33-Rules!$C$19))*Rules!$C$20</f>
        <v>19357.563217473511</v>
      </c>
      <c r="AL33" s="12">
        <f>(AJ33+AK33/2)*Inputs!$C$35</f>
        <v>69745.472707317953</v>
      </c>
      <c r="AM33" s="12">
        <f>(AJ33+AK33/2)*Inputs!$C$42</f>
        <v>13450.912593554176</v>
      </c>
      <c r="AN33" s="12">
        <f t="shared" si="10"/>
        <v>1062337.2375413284</v>
      </c>
      <c r="AO33" s="12">
        <f t="shared" si="11"/>
        <v>2377253.9478004747</v>
      </c>
      <c r="AP33" s="12">
        <f t="shared" si="12"/>
        <v>4461865.1136475559</v>
      </c>
      <c r="AQ33" s="6" t="str">
        <f t="shared" si="13"/>
        <v>OK</v>
      </c>
    </row>
    <row r="34" spans="1:43" x14ac:dyDescent="0.25">
      <c r="A34" s="13">
        <v>28</v>
      </c>
      <c r="B34" s="13" t="s">
        <v>231</v>
      </c>
      <c r="C34" s="13">
        <f>Inputs!$C$7+A34-1</f>
        <v>65</v>
      </c>
      <c r="D34" s="13">
        <f>Inputs!$C$13+A34-1</f>
        <v>63</v>
      </c>
      <c r="E34" s="14">
        <f>Inputs!$C$8*(1+Inputs!$C$39)^(A34-1)</f>
        <v>233235.34558486633</v>
      </c>
      <c r="F34" s="14">
        <f>Inputs!$C$14*(1+Inputs!$C$39)^(A34-1)</f>
        <v>195473.4324901737</v>
      </c>
      <c r="G34" s="14">
        <f>INDEX(Inputs!$D$49:$D$52,Inputs!$C$45)*(1+Inputs!$C$39)^(A34-1)*E34/(E34+F34)</f>
        <v>0</v>
      </c>
      <c r="H34" s="14">
        <f>INDEX(Inputs!$D$49:$D$52,Inputs!$C$45)*(1+Inputs!$C$39)^(A34-1)*F34/(E34+F34)</f>
        <v>0</v>
      </c>
      <c r="I34" s="14">
        <f>MIN(E34,Rules!$C$16*(1+Inputs!$C$39)^(A34-1))*Rules!$C$15</f>
        <v>27988.241470183959</v>
      </c>
      <c r="J34" s="14">
        <f>MIN(F34,Rules!$C$16*(1+Inputs!$C$39)^(A34-1))*Rules!$C$15</f>
        <v>23456.811898820844</v>
      </c>
      <c r="K34" s="14">
        <f t="shared" si="0"/>
        <v>27988.241470183959</v>
      </c>
      <c r="L34" s="14">
        <f t="shared" si="1"/>
        <v>23456.811898820844</v>
      </c>
      <c r="M34" s="14">
        <f>Rules!$C$17*(1+Inputs!$C$39)^(A34-1)</f>
        <v>72191.892681030047</v>
      </c>
      <c r="N34" s="14">
        <f t="shared" si="2"/>
        <v>0</v>
      </c>
      <c r="O34" s="14">
        <f t="shared" si="3"/>
        <v>0</v>
      </c>
      <c r="P34" s="14">
        <f t="shared" si="4"/>
        <v>233235.34558486633</v>
      </c>
      <c r="Q34" s="14">
        <f t="shared" si="5"/>
        <v>195473.4324901737</v>
      </c>
      <c r="R34" s="14">
        <f>SUMPRODUCT(--(P34&gt;Rules!$B$7:$B$11),(P34-Rules!$B$7:$B$11),Rules!$E$7:$E$11)+P34*Rules!$C$14</f>
        <v>75490.612424887164</v>
      </c>
      <c r="S34" s="14">
        <f>SUMPRODUCT(--(Q34&gt;Rules!$B$7:$B$11),(Q34-Rules!$B$7:$B$11),Rules!$E$7:$E$11)+Q34*Rules!$C$14</f>
        <v>57742.513270381634</v>
      </c>
      <c r="T34" s="14">
        <f t="shared" si="6"/>
        <v>295475.65237977123</v>
      </c>
      <c r="U34" s="14">
        <f>Inputs!$C$20*(1+Inputs!$C$38)^(A34-1)</f>
        <v>186988.80175677236</v>
      </c>
      <c r="V34" s="14">
        <f t="shared" si="14"/>
        <v>0</v>
      </c>
      <c r="W34" s="14">
        <f>V34*Inputs!$C$26</f>
        <v>0</v>
      </c>
      <c r="X34" s="14">
        <f>IF(V34&lt;=0,0,MIN(Inputs!$C$28,V34+W34))</f>
        <v>0</v>
      </c>
      <c r="Y34" s="14">
        <f>IF(V34&lt;=0,0,MIN(INDEX(Inputs!$E$49:$E$52,Inputs!$C$45),MAX(0,V34+W34-X34)))</f>
        <v>0</v>
      </c>
      <c r="Z34" s="14">
        <f t="shared" si="7"/>
        <v>0</v>
      </c>
      <c r="AA34" s="14">
        <f t="shared" si="15"/>
        <v>2084611.1658470812</v>
      </c>
      <c r="AB34" s="14">
        <f>INDEX(Inputs!$F$49:$F$52,Inputs!$C$45)+IF(V34&lt;=0,Inputs!$C$28+INDEX(Inputs!$E$49:$E$52,Inputs!$C$45),0)</f>
        <v>78909.166988593279</v>
      </c>
      <c r="AC34" s="14">
        <f>(AA34+AB34/2)*Inputs!$C$36</f>
        <v>138064.27370718957</v>
      </c>
      <c r="AD34" s="14">
        <f t="shared" si="8"/>
        <v>2301584.6065428639</v>
      </c>
      <c r="AE34" s="14">
        <f t="shared" si="16"/>
        <v>1314916.7102591463</v>
      </c>
      <c r="AF34" s="14">
        <f>K34*(1-Rules!$C$18)-MAX(0,MIN(K34,P34+K34-Rules!$C$19))*Rules!$C$20</f>
        <v>22106.46719139882</v>
      </c>
      <c r="AG34" s="14">
        <f>(AE34+AF34/2)*Inputs!$C$35</f>
        <v>92817.896069839204</v>
      </c>
      <c r="AH34" s="14">
        <f>(AE34+AF34/2)*Inputs!$C$42</f>
        <v>17900.594242040414</v>
      </c>
      <c r="AI34" s="14">
        <f t="shared" si="9"/>
        <v>1411940.479278344</v>
      </c>
      <c r="AJ34" s="14">
        <f t="shared" si="17"/>
        <v>1062337.2375413284</v>
      </c>
      <c r="AK34" s="14">
        <f>L34*(1-Rules!$C$18)-MAX(0,MIN(L34,Q34+L34-Rules!$C$19))*Rules!$C$20</f>
        <v>19938.290113997718</v>
      </c>
      <c r="AL34" s="14">
        <f>(AJ34+AK34/2)*Inputs!$C$35</f>
        <v>75061.446781882914</v>
      </c>
      <c r="AM34" s="14">
        <f>(AJ34+AK34/2)*Inputs!$C$42</f>
        <v>14476.136165077418</v>
      </c>
      <c r="AN34" s="14">
        <f t="shared" si="10"/>
        <v>1142860.8382721317</v>
      </c>
      <c r="AO34" s="14">
        <f t="shared" si="11"/>
        <v>2554801.3175504757</v>
      </c>
      <c r="AP34" s="14">
        <f t="shared" si="12"/>
        <v>4856385.9240933396</v>
      </c>
      <c r="AQ34" s="13" t="str">
        <f t="shared" si="13"/>
        <v>OK</v>
      </c>
    </row>
    <row r="35" spans="1:43" x14ac:dyDescent="0.25">
      <c r="A35" s="6">
        <v>29</v>
      </c>
      <c r="B35" s="6" t="s">
        <v>232</v>
      </c>
      <c r="C35" s="6">
        <f>Inputs!$C$7+A35-1</f>
        <v>66</v>
      </c>
      <c r="D35" s="6">
        <f>Inputs!$C$13+A35-1</f>
        <v>64</v>
      </c>
      <c r="E35" s="12">
        <f>Inputs!$C$8*(1+Inputs!$C$39)^(A35-1)</f>
        <v>240232.40595241231</v>
      </c>
      <c r="F35" s="12">
        <f>Inputs!$C$14*(1+Inputs!$C$39)^(A35-1)</f>
        <v>201337.6354648789</v>
      </c>
      <c r="G35" s="12">
        <f>INDEX(Inputs!$D$49:$D$52,Inputs!$C$45)*(1+Inputs!$C$39)^(A35-1)*E35/(E35+F35)</f>
        <v>0</v>
      </c>
      <c r="H35" s="12">
        <f>INDEX(Inputs!$D$49:$D$52,Inputs!$C$45)*(1+Inputs!$C$39)^(A35-1)*F35/(E35+F35)</f>
        <v>0</v>
      </c>
      <c r="I35" s="12">
        <f>MIN(E35,Rules!$C$16*(1+Inputs!$C$39)^(A35-1))*Rules!$C$15</f>
        <v>28827.888714289478</v>
      </c>
      <c r="J35" s="12">
        <f>MIN(F35,Rules!$C$16*(1+Inputs!$C$39)^(A35-1))*Rules!$C$15</f>
        <v>24160.516255785467</v>
      </c>
      <c r="K35" s="12">
        <f t="shared" si="0"/>
        <v>28827.888714289478</v>
      </c>
      <c r="L35" s="12">
        <f t="shared" si="1"/>
        <v>24160.516255785467</v>
      </c>
      <c r="M35" s="12">
        <f>Rules!$C$17*(1+Inputs!$C$39)^(A35-1)</f>
        <v>74357.649461460955</v>
      </c>
      <c r="N35" s="12">
        <f t="shared" si="2"/>
        <v>0</v>
      </c>
      <c r="O35" s="12">
        <f t="shared" si="3"/>
        <v>0</v>
      </c>
      <c r="P35" s="12">
        <f t="shared" si="4"/>
        <v>240232.40595241231</v>
      </c>
      <c r="Q35" s="12">
        <f t="shared" si="5"/>
        <v>201337.6354648789</v>
      </c>
      <c r="R35" s="12">
        <f>SUMPRODUCT(--(P35&gt;Rules!$B$7:$B$11),(P35-Rules!$B$7:$B$11),Rules!$E$7:$E$11)+P35*Rules!$C$14</f>
        <v>78779.230797633791</v>
      </c>
      <c r="S35" s="12">
        <f>SUMPRODUCT(--(Q35&gt;Rules!$B$7:$B$11),(Q35-Rules!$B$7:$B$11),Rules!$E$7:$E$11)+Q35*Rules!$C$14</f>
        <v>60498.68866849308</v>
      </c>
      <c r="T35" s="12">
        <f t="shared" si="6"/>
        <v>302292.12195116433</v>
      </c>
      <c r="U35" s="12">
        <f>Inputs!$C$20*(1+Inputs!$C$38)^(A35-1)</f>
        <v>191663.52180069167</v>
      </c>
      <c r="V35" s="12">
        <f t="shared" si="14"/>
        <v>0</v>
      </c>
      <c r="W35" s="12">
        <f>V35*Inputs!$C$26</f>
        <v>0</v>
      </c>
      <c r="X35" s="12">
        <f>IF(V35&lt;=0,0,MIN(Inputs!$C$28,V35+W35))</f>
        <v>0</v>
      </c>
      <c r="Y35" s="12">
        <f>IF(V35&lt;=0,0,MIN(INDEX(Inputs!$E$49:$E$52,Inputs!$C$45),MAX(0,V35+W35-X35)))</f>
        <v>0</v>
      </c>
      <c r="Z35" s="12">
        <f t="shared" si="7"/>
        <v>0</v>
      </c>
      <c r="AA35" s="12">
        <f t="shared" si="15"/>
        <v>2301584.6065428639</v>
      </c>
      <c r="AB35" s="12">
        <f>INDEX(Inputs!$F$49:$F$52,Inputs!$C$45)+IF(V35&lt;=0,Inputs!$C$28+INDEX(Inputs!$E$49:$E$52,Inputs!$C$45),0)</f>
        <v>78909.166988593279</v>
      </c>
      <c r="AC35" s="12">
        <f>(AA35+AB35/2)*Inputs!$C$36</f>
        <v>152167.54735241545</v>
      </c>
      <c r="AD35" s="12">
        <f t="shared" si="8"/>
        <v>2532661.3208838725</v>
      </c>
      <c r="AE35" s="12">
        <f t="shared" si="16"/>
        <v>1411940.479278344</v>
      </c>
      <c r="AF35" s="12">
        <f>K35*(1-Rules!$C$18)-MAX(0,MIN(K35,P35+K35-Rules!$C$19))*Rules!$C$20</f>
        <v>21644.661207140784</v>
      </c>
      <c r="AG35" s="12">
        <f>(AE35+AF35/2)*Inputs!$C$35</f>
        <v>99593.396691734015</v>
      </c>
      <c r="AH35" s="12">
        <f>(AE35+AF35/2)*Inputs!$C$42</f>
        <v>19207.297933405844</v>
      </c>
      <c r="AI35" s="12">
        <f t="shared" si="9"/>
        <v>1513971.2392438131</v>
      </c>
      <c r="AJ35" s="12">
        <f t="shared" si="17"/>
        <v>1142860.8382721317</v>
      </c>
      <c r="AK35" s="12">
        <f>L35*(1-Rules!$C$18)-MAX(0,MIN(L35,Q35+L35-Rules!$C$19))*Rules!$C$20</f>
        <v>20536.438817417646</v>
      </c>
      <c r="AL35" s="12">
        <f>(AJ35+AK35/2)*Inputs!$C$35</f>
        <v>80719.034037658843</v>
      </c>
      <c r="AM35" s="12">
        <f>(AJ35+AK35/2)*Inputs!$C$42</f>
        <v>15567.242278691348</v>
      </c>
      <c r="AN35" s="12">
        <f t="shared" si="10"/>
        <v>1228549.068848517</v>
      </c>
      <c r="AO35" s="12">
        <f t="shared" si="11"/>
        <v>2742520.3080923301</v>
      </c>
      <c r="AP35" s="12">
        <f t="shared" si="12"/>
        <v>5275181.6289762026</v>
      </c>
      <c r="AQ35" s="6" t="str">
        <f t="shared" si="13"/>
        <v>OK</v>
      </c>
    </row>
    <row r="36" spans="1:43" x14ac:dyDescent="0.25">
      <c r="A36" s="13">
        <v>30</v>
      </c>
      <c r="B36" s="13" t="s">
        <v>233</v>
      </c>
      <c r="C36" s="13">
        <f>Inputs!$C$7+A36-1</f>
        <v>67</v>
      </c>
      <c r="D36" s="13">
        <f>Inputs!$C$13+A36-1</f>
        <v>65</v>
      </c>
      <c r="E36" s="14">
        <f>Inputs!$C$8*(1+Inputs!$C$39)^(A36-1)</f>
        <v>247439.37813098467</v>
      </c>
      <c r="F36" s="14">
        <f>Inputs!$C$14*(1+Inputs!$C$39)^(A36-1)</f>
        <v>207377.76452882524</v>
      </c>
      <c r="G36" s="14">
        <f>INDEX(Inputs!$D$49:$D$52,Inputs!$C$45)*(1+Inputs!$C$39)^(A36-1)*E36/(E36+F36)</f>
        <v>0</v>
      </c>
      <c r="H36" s="14">
        <f>INDEX(Inputs!$D$49:$D$52,Inputs!$C$45)*(1+Inputs!$C$39)^(A36-1)*F36/(E36+F36)</f>
        <v>0</v>
      </c>
      <c r="I36" s="14">
        <f>MIN(E36,Rules!$C$16*(1+Inputs!$C$39)^(A36-1))*Rules!$C$15</f>
        <v>29692.725375718161</v>
      </c>
      <c r="J36" s="14">
        <f>MIN(F36,Rules!$C$16*(1+Inputs!$C$39)^(A36-1))*Rules!$C$15</f>
        <v>24885.331743459028</v>
      </c>
      <c r="K36" s="14">
        <f t="shared" si="0"/>
        <v>29692.725375718161</v>
      </c>
      <c r="L36" s="14">
        <f t="shared" si="1"/>
        <v>24885.331743459028</v>
      </c>
      <c r="M36" s="14">
        <f>Rules!$C$17*(1+Inputs!$C$39)^(A36-1)</f>
        <v>76588.378945304779</v>
      </c>
      <c r="N36" s="14">
        <f t="shared" si="2"/>
        <v>0</v>
      </c>
      <c r="O36" s="14">
        <f t="shared" si="3"/>
        <v>0</v>
      </c>
      <c r="P36" s="14">
        <f t="shared" si="4"/>
        <v>247439.37813098467</v>
      </c>
      <c r="Q36" s="14">
        <f t="shared" si="5"/>
        <v>207377.76452882524</v>
      </c>
      <c r="R36" s="14">
        <f>SUMPRODUCT(--(P36&gt;Rules!$B$7:$B$11),(P36-Rules!$B$7:$B$11),Rules!$E$7:$E$11)+P36*Rules!$C$14</f>
        <v>82166.507721562797</v>
      </c>
      <c r="S36" s="14">
        <f>SUMPRODUCT(--(Q36&gt;Rules!$B$7:$B$11),(Q36-Rules!$B$7:$B$11),Rules!$E$7:$E$11)+Q36*Rules!$C$14</f>
        <v>63337.549328547866</v>
      </c>
      <c r="T36" s="14">
        <f t="shared" si="6"/>
        <v>309313.08560969925</v>
      </c>
      <c r="U36" s="14">
        <f>Inputs!$C$20*(1+Inputs!$C$38)^(A36-1)</f>
        <v>196455.10984570897</v>
      </c>
      <c r="V36" s="14">
        <f t="shared" si="14"/>
        <v>0</v>
      </c>
      <c r="W36" s="14">
        <f>V36*Inputs!$C$26</f>
        <v>0</v>
      </c>
      <c r="X36" s="14">
        <f>IF(V36&lt;=0,0,MIN(Inputs!$C$28,V36+W36))</f>
        <v>0</v>
      </c>
      <c r="Y36" s="14">
        <f>IF(V36&lt;=0,0,MIN(INDEX(Inputs!$E$49:$E$52,Inputs!$C$45),MAX(0,V36+W36-X36)))</f>
        <v>0</v>
      </c>
      <c r="Z36" s="14">
        <f t="shared" si="7"/>
        <v>0</v>
      </c>
      <c r="AA36" s="14">
        <f t="shared" si="15"/>
        <v>2532661.3208838725</v>
      </c>
      <c r="AB36" s="14">
        <f>INDEX(Inputs!$F$49:$F$52,Inputs!$C$45)+IF(V36&lt;=0,Inputs!$C$28+INDEX(Inputs!$E$49:$E$52,Inputs!$C$45),0)</f>
        <v>78909.166988593279</v>
      </c>
      <c r="AC36" s="14">
        <f>(AA36+AB36/2)*Inputs!$C$36</f>
        <v>167187.533784581</v>
      </c>
      <c r="AD36" s="14">
        <f t="shared" si="8"/>
        <v>2778758.0216570464</v>
      </c>
      <c r="AE36" s="14">
        <f t="shared" si="16"/>
        <v>1513971.2392438131</v>
      </c>
      <c r="AF36" s="14">
        <f>K36*(1-Rules!$C$18)-MAX(0,MIN(K36,P36+K36-Rules!$C$19))*Rules!$C$20</f>
        <v>21169.001043355012</v>
      </c>
      <c r="AG36" s="14">
        <f>(AE36+AF36/2)*Inputs!$C$35</f>
        <v>106718.90178358436</v>
      </c>
      <c r="AH36" s="14">
        <f>(AE36+AF36/2)*Inputs!$C$42</f>
        <v>20581.502486834124</v>
      </c>
      <c r="AI36" s="14">
        <f t="shared" si="9"/>
        <v>1621277.6395839185</v>
      </c>
      <c r="AJ36" s="14">
        <f t="shared" si="17"/>
        <v>1228549.068848517</v>
      </c>
      <c r="AK36" s="14">
        <f>L36*(1-Rules!$C$18)-MAX(0,MIN(L36,Q36+L36-Rules!$C$19))*Rules!$C$20</f>
        <v>21152.531981940174</v>
      </c>
      <c r="AL36" s="14">
        <f>(AJ36+AK36/2)*Inputs!$C$35</f>
        <v>86738.77343876411</v>
      </c>
      <c r="AM36" s="14">
        <f>(AJ36+AK36/2)*Inputs!$C$42</f>
        <v>16728.192020333077</v>
      </c>
      <c r="AN36" s="14">
        <f t="shared" si="10"/>
        <v>1319712.1822488881</v>
      </c>
      <c r="AO36" s="14">
        <f t="shared" si="11"/>
        <v>2940989.8218328068</v>
      </c>
      <c r="AP36" s="14">
        <f t="shared" si="12"/>
        <v>5719747.8434898537</v>
      </c>
      <c r="AQ36" s="13" t="str">
        <f t="shared" si="13"/>
        <v>OK</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U53"/>
  <sheetViews>
    <sheetView showGridLines="0" zoomScaleNormal="100" workbookViewId="0">
      <selection activeCell="D14" sqref="D14:D15"/>
    </sheetView>
  </sheetViews>
  <sheetFormatPr defaultColWidth="8.7109375" defaultRowHeight="15" x14ac:dyDescent="0.25"/>
  <cols>
    <col min="1" max="1" width="30" customWidth="1"/>
    <col min="2" max="2" width="12.140625" bestFit="1" customWidth="1"/>
    <col min="3" max="3" width="13.85546875" bestFit="1" customWidth="1"/>
    <col min="4" max="6" width="14" customWidth="1"/>
    <col min="7" max="7" width="3" customWidth="1"/>
    <col min="8" max="8" width="18.85546875" bestFit="1" customWidth="1"/>
    <col min="9" max="11" width="14" customWidth="1"/>
    <col min="12" max="12" width="3" customWidth="1"/>
    <col min="13" max="13" width="19" bestFit="1" customWidth="1"/>
    <col min="14" max="16" width="14" customWidth="1"/>
    <col min="17" max="17" width="3" customWidth="1"/>
    <col min="18" max="18" width="13.7109375" bestFit="1" customWidth="1"/>
    <col min="19" max="21" width="14" customWidth="1"/>
    <col min="22" max="22" width="3" customWidth="1"/>
  </cols>
  <sheetData>
    <row r="2" spans="1:18" ht="18" x14ac:dyDescent="0.25">
      <c r="A2" s="58" t="s">
        <v>234</v>
      </c>
      <c r="B2" s="59"/>
      <c r="C2" s="59"/>
      <c r="D2" s="59"/>
      <c r="E2" s="59"/>
    </row>
    <row r="3" spans="1:18" x14ac:dyDescent="0.25">
      <c r="A3" s="60" t="s">
        <v>235</v>
      </c>
      <c r="B3" s="59"/>
      <c r="C3" s="59"/>
      <c r="D3" s="59"/>
      <c r="E3" s="59"/>
    </row>
    <row r="5" spans="1:18" x14ac:dyDescent="0.25">
      <c r="A5" s="3" t="s">
        <v>236</v>
      </c>
      <c r="C5" s="15" t="s">
        <v>237</v>
      </c>
      <c r="H5" s="15" t="s">
        <v>238</v>
      </c>
      <c r="M5" s="15" t="s">
        <v>239</v>
      </c>
      <c r="R5" s="15" t="s">
        <v>240</v>
      </c>
    </row>
    <row r="6" spans="1:18" x14ac:dyDescent="0.25">
      <c r="A6" s="1" t="s">
        <v>241</v>
      </c>
      <c r="B6" s="1"/>
      <c r="C6" s="8">
        <f>C53</f>
        <v>2892661.0476251855</v>
      </c>
      <c r="H6" s="8">
        <f>H53</f>
        <v>5917581.3272200581</v>
      </c>
      <c r="M6" s="8">
        <f>M53</f>
        <v>2892661.0476251855</v>
      </c>
      <c r="R6" s="8">
        <f>R53</f>
        <v>4405121.1874226201</v>
      </c>
    </row>
    <row r="7" spans="1:18" x14ac:dyDescent="0.25">
      <c r="A7" s="16" t="s">
        <v>242</v>
      </c>
      <c r="C7" s="8">
        <f>C53/(1+Inputs!$C$38)^Inputs!$C$19</f>
        <v>1413531.3700423115</v>
      </c>
      <c r="H7" s="8">
        <f>H53/(1+Inputs!$C$38)^Inputs!$C$19</f>
        <v>2891692.7020085547</v>
      </c>
      <c r="M7" s="8">
        <f>M53/(1+Inputs!$C$38)^Inputs!$C$19</f>
        <v>1413531.3700423115</v>
      </c>
      <c r="R7" s="8">
        <f>R53/(1+Inputs!$C$38)^Inputs!$C$19</f>
        <v>2152612.0360254324</v>
      </c>
    </row>
    <row r="8" spans="1:18" x14ac:dyDescent="0.25">
      <c r="A8" s="16" t="s">
        <v>243</v>
      </c>
      <c r="C8" s="8">
        <f>E53/(1+Inputs!$C$38)^Inputs!$C$19</f>
        <v>1357323.0741707149</v>
      </c>
      <c r="H8" s="8">
        <f>J53/(1+Inputs!$C$38)^Inputs!$C$19</f>
        <v>381472.97589799186</v>
      </c>
      <c r="M8" s="8">
        <f>O53/(1+Inputs!$C$38)^Inputs!$C$19</f>
        <v>1257883.600340653</v>
      </c>
      <c r="R8" s="8">
        <f>T53/(1+Inputs!$C$38)^Inputs!$C$19</f>
        <v>797939.14905416861</v>
      </c>
    </row>
    <row r="9" spans="1:18" x14ac:dyDescent="0.25">
      <c r="A9" s="16" t="s">
        <v>244</v>
      </c>
      <c r="C9" s="8">
        <f>D53</f>
        <v>0</v>
      </c>
      <c r="H9" s="8">
        <f>I53</f>
        <v>0</v>
      </c>
      <c r="M9" s="8">
        <f>N53</f>
        <v>0</v>
      </c>
      <c r="R9" s="8">
        <f>S53</f>
        <v>0</v>
      </c>
    </row>
    <row r="10" spans="1:18" x14ac:dyDescent="0.25">
      <c r="A10" s="16" t="s">
        <v>245</v>
      </c>
      <c r="C10" s="8">
        <f>F53/(1+Inputs!$C$38)^Inputs!$C$19</f>
        <v>2770854.4442130262</v>
      </c>
      <c r="H10" s="8">
        <f>K53/(1+Inputs!$C$38)^Inputs!$C$19</f>
        <v>3273165.6779065463</v>
      </c>
      <c r="M10" s="8">
        <f>P53/(1+Inputs!$C$38)^Inputs!$C$19</f>
        <v>2671414.9703829642</v>
      </c>
      <c r="R10" s="8">
        <f>U53/(1+Inputs!$C$38)^Inputs!$C$19</f>
        <v>2950551.1850796007</v>
      </c>
    </row>
    <row r="11" spans="1:18" x14ac:dyDescent="0.25">
      <c r="A11" s="16" t="s">
        <v>246</v>
      </c>
      <c r="C11" s="7">
        <f>COUNTIF(D24:D53,"&gt;0")</f>
        <v>24</v>
      </c>
      <c r="H11" s="7">
        <f>COUNTIF(I24:I53,"&gt;0")</f>
        <v>24</v>
      </c>
      <c r="M11" s="7">
        <f>COUNTIF(N24:N53,"&gt;0")</f>
        <v>13</v>
      </c>
      <c r="R11" s="7">
        <f>COUNTIF(S24:S53,"&gt;0")</f>
        <v>17</v>
      </c>
    </row>
    <row r="12" spans="1:18" x14ac:dyDescent="0.25">
      <c r="A12" s="16" t="s">
        <v>247</v>
      </c>
      <c r="C12" s="8">
        <f>C53/(1+Inputs!$C$38)^Inputs!$C$19-Rules!$C$26</f>
        <v>683531.37004231149</v>
      </c>
      <c r="H12" s="8">
        <f>H53/(1+Inputs!$C$38)^Inputs!$C$19-Rules!$C$26</f>
        <v>2161692.7020085547</v>
      </c>
      <c r="M12" s="8">
        <f>M53/(1+Inputs!$C$38)^Inputs!$C$19-Rules!$C$26</f>
        <v>683531.37004231149</v>
      </c>
      <c r="R12" s="8">
        <f>R53/(1+Inputs!$C$38)^Inputs!$C$19-Rules!$C$26</f>
        <v>1422612.0360254324</v>
      </c>
    </row>
    <row r="13" spans="1:18" x14ac:dyDescent="0.25">
      <c r="A13" s="16" t="s">
        <v>248</v>
      </c>
      <c r="C13" s="39" t="str">
        <f>IF(C53/(1+Inputs!$C$38)^Inputs!$C$19&gt;=Rules!$C$26,"Yes","No")</f>
        <v>Yes</v>
      </c>
      <c r="H13" s="39" t="str">
        <f>IF(H53/(1+Inputs!$C$38)^Inputs!$C$19&gt;=Rules!$C$26,"Yes","No")</f>
        <v>Yes</v>
      </c>
      <c r="M13" s="39" t="str">
        <f>IF(M53/(1+Inputs!$C$38)^Inputs!$C$19&gt;=Rules!$C$26,"Yes","No")</f>
        <v>Yes</v>
      </c>
      <c r="R13" s="39" t="str">
        <f>IF(R53/(1+Inputs!$C$38)^Inputs!$C$19&gt;=Rules!$C$26,"Yes","No")</f>
        <v>Yes</v>
      </c>
    </row>
    <row r="14" spans="1:18" x14ac:dyDescent="0.25">
      <c r="A14" s="16" t="s">
        <v>249</v>
      </c>
      <c r="C14" s="8">
        <f>(C53+E53)/(1+Inputs!$C$38)^Inputs!$C$19*Rules!$C$29</f>
        <v>110834.17776852105</v>
      </c>
      <c r="H14" s="8">
        <f>(H53+J53)/(1+Inputs!$C$38)^Inputs!$C$19*Rules!$C$29</f>
        <v>130926.62711626185</v>
      </c>
      <c r="M14" s="8">
        <f>(M53+O53)/(1+Inputs!$C$38)^Inputs!$C$19*Rules!$C$29</f>
        <v>106856.59881531858</v>
      </c>
      <c r="R14" s="8">
        <f>(R53+T53)/(1+Inputs!$C$38)^Inputs!$C$19*Rules!$C$29</f>
        <v>118022.04740318403</v>
      </c>
    </row>
    <row r="15" spans="1:18" x14ac:dyDescent="0.25">
      <c r="A15" s="16" t="s">
        <v>250</v>
      </c>
      <c r="C15" s="8">
        <f>(Inputs!$C$8+Inputs!$C$14)*Rules!$C$28</f>
        <v>135100</v>
      </c>
      <c r="H15" s="8">
        <f>(Inputs!$C$8+Inputs!$C$14)*Rules!$C$28</f>
        <v>135100</v>
      </c>
      <c r="M15" s="8">
        <f>(Inputs!$C$8+Inputs!$C$14)*Rules!$C$28</f>
        <v>135100</v>
      </c>
      <c r="R15" s="8">
        <f>(Inputs!$C$8+Inputs!$C$14)*Rules!$C$28</f>
        <v>135100</v>
      </c>
    </row>
    <row r="16" spans="1:18" x14ac:dyDescent="0.25">
      <c r="A16" s="16" t="s">
        <v>251</v>
      </c>
      <c r="C16" s="8">
        <f>(C53+E53)/(1+Inputs!$C$38)^Inputs!$C$19*Rules!$C$29-(Inputs!$C$8+Inputs!$C$14)*Rules!$C$28</f>
        <v>-24265.822231478945</v>
      </c>
      <c r="H16" s="8">
        <f>(H53+J53)/(1+Inputs!$C$38)^Inputs!$C$19*Rules!$C$29-(Inputs!$C$8+Inputs!$C$14)*Rules!$C$28</f>
        <v>-4173.3728837381495</v>
      </c>
      <c r="M16" s="8">
        <f>(M53+O53)/(1+Inputs!$C$38)^Inputs!$C$19*Rules!$C$29-(Inputs!$C$8+Inputs!$C$14)*Rules!$C$28</f>
        <v>-28243.401184681425</v>
      </c>
      <c r="R16" s="8">
        <f>(R53+T53)/(1+Inputs!$C$38)^Inputs!$C$19*Rules!$C$29-(Inputs!$C$8+Inputs!$C$14)*Rules!$C$28</f>
        <v>-17077.952596815972</v>
      </c>
    </row>
    <row r="22" spans="1:21" x14ac:dyDescent="0.25">
      <c r="C22" s="3" t="s">
        <v>237</v>
      </c>
      <c r="H22" s="3" t="s">
        <v>238</v>
      </c>
      <c r="M22" s="3" t="s">
        <v>239</v>
      </c>
      <c r="R22" s="3" t="s">
        <v>240</v>
      </c>
    </row>
    <row r="23" spans="1:21" ht="25.5" customHeight="1" x14ac:dyDescent="0.25">
      <c r="A23" s="17" t="s">
        <v>161</v>
      </c>
      <c r="B23" s="17" t="s">
        <v>162</v>
      </c>
      <c r="C23" s="11" t="s">
        <v>252</v>
      </c>
      <c r="D23" s="11" t="s">
        <v>253</v>
      </c>
      <c r="E23" s="11" t="s">
        <v>254</v>
      </c>
      <c r="F23" s="11" t="s">
        <v>202</v>
      </c>
      <c r="H23" s="11" t="s">
        <v>252</v>
      </c>
      <c r="I23" s="11" t="s">
        <v>253</v>
      </c>
      <c r="J23" s="11" t="s">
        <v>254</v>
      </c>
      <c r="K23" s="11" t="s">
        <v>202</v>
      </c>
      <c r="M23" s="11" t="s">
        <v>252</v>
      </c>
      <c r="N23" s="11" t="s">
        <v>253</v>
      </c>
      <c r="O23" s="11" t="s">
        <v>254</v>
      </c>
      <c r="P23" s="11" t="s">
        <v>202</v>
      </c>
      <c r="R23" s="11" t="s">
        <v>252</v>
      </c>
      <c r="S23" s="11" t="s">
        <v>253</v>
      </c>
      <c r="T23" s="11" t="s">
        <v>254</v>
      </c>
      <c r="U23" s="11" t="s">
        <v>202</v>
      </c>
    </row>
    <row r="24" spans="1:21" x14ac:dyDescent="0.25">
      <c r="A24" s="6">
        <v>1</v>
      </c>
      <c r="B24" s="6" t="s">
        <v>204</v>
      </c>
      <c r="C24" s="12">
        <f>(Inputs!$C$9+Inputs!$C$15)*(1+Inputs!$C$35-Inputs!$C$42)+((Engine!E7+Engine!F7)*Rules!$C$15+Inputs!$D$49*(1+Inputs!$C$39)^(A24-1))*(1-Rules!$C$18)</f>
        <v>188726</v>
      </c>
      <c r="D24" s="12">
        <f>MAX(0,Inputs!$C$25*(1+Inputs!$C$26)-Inputs!$C$28-Inputs!$E$49)</f>
        <v>706690.83301140671</v>
      </c>
      <c r="E24" s="12">
        <f>(Inputs!$C$31+Inputs!$C$32)*(1+Inputs!$C$36)+Inputs!$F$49</f>
        <v>97670</v>
      </c>
      <c r="F24" s="12">
        <f t="shared" ref="F24:F53" si="0">C24+E24-D24</f>
        <v>-420294.83301140671</v>
      </c>
      <c r="H24" s="12">
        <f>(Inputs!$C$9+Inputs!$C$15)*(1+Inputs!$C$35-Inputs!$C$42)+((Engine!E7+Engine!F7)*Rules!$C$15+Inputs!$D$50*(1+Inputs!$C$39)^(A24-1))*(1-Rules!$C$18)</f>
        <v>217626</v>
      </c>
      <c r="I24" s="12">
        <f>MAX(0,Inputs!$C$25*(1+Inputs!$C$26)-Inputs!$C$28-Inputs!$E$50)</f>
        <v>706690.83301140671</v>
      </c>
      <c r="J24" s="12">
        <f>(Inputs!$C$31+Inputs!$C$32)*(1+Inputs!$C$36)+Inputs!$F$50</f>
        <v>74550</v>
      </c>
      <c r="K24" s="12">
        <f t="shared" ref="K24:K53" si="1">H24+J24-I24</f>
        <v>-414514.83301140671</v>
      </c>
      <c r="M24" s="12">
        <f>(Inputs!$C$9+Inputs!$C$15)*(1+Inputs!$C$35-Inputs!$C$42)+((Engine!E7+Engine!F7)*Rules!$C$15+Inputs!$D$51*(1+Inputs!$C$39)^(A24-1))*(1-Rules!$C$18)</f>
        <v>188726</v>
      </c>
      <c r="N24" s="12">
        <f>MAX(0,Inputs!$C$25*(1+Inputs!$C$26)-Inputs!$C$28-Inputs!$E$51)</f>
        <v>683570.83301140671</v>
      </c>
      <c r="O24" s="12">
        <f>(Inputs!$C$31+Inputs!$C$32)*(1+Inputs!$C$36)+Inputs!$F$51</f>
        <v>74550</v>
      </c>
      <c r="P24" s="12">
        <f t="shared" ref="P24:P53" si="2">M24+O24-N24</f>
        <v>-420294.83301140671</v>
      </c>
      <c r="R24" s="12">
        <f>(Inputs!$C$9+Inputs!$C$15)*(1+Inputs!$C$35-Inputs!$C$42)+((Engine!E7+Engine!F7)*Rules!$C$15+Inputs!$D$52*(1+Inputs!$C$39)^(A24-1))*(1-Rules!$C$18)</f>
        <v>203176</v>
      </c>
      <c r="S24" s="12">
        <f>MAX(0,Inputs!$C$25*(1+Inputs!$C$26)-Inputs!$C$28-Inputs!$E$52)</f>
        <v>695130.83301140671</v>
      </c>
      <c r="T24" s="12">
        <f>(Inputs!$C$31+Inputs!$C$32)*(1+Inputs!$C$36)+Inputs!$F$52</f>
        <v>74550</v>
      </c>
      <c r="U24" s="12">
        <f t="shared" ref="U24:U53" si="3">R24+T24-S24</f>
        <v>-417404.83301140671</v>
      </c>
    </row>
    <row r="25" spans="1:21" x14ac:dyDescent="0.25">
      <c r="A25" s="6">
        <v>2</v>
      </c>
      <c r="B25" s="6" t="s">
        <v>205</v>
      </c>
      <c r="C25" s="14">
        <f>C24*(1+Inputs!$C$35-Inputs!$C$42)+((Engine!E8+Engine!F8)*Rules!$C$15+Inputs!$D$49*(1+Inputs!$C$39)^(A25-1))*(1-Rules!$C$18)</f>
        <v>219665.59899999999</v>
      </c>
      <c r="D25" s="14">
        <f>IF(D24&lt;=0,0,MAX(0,D24*(1+Inputs!$C$26)-Inputs!$C$28-Inputs!$E$49))</f>
        <v>692596.42517048633</v>
      </c>
      <c r="E25" s="14">
        <f>E24*(1+Inputs!$C$36)+Inputs!$F$49+IF(D24&lt;=0,Inputs!$C$28+Inputs!$E$49,0)</f>
        <v>127138.54999999999</v>
      </c>
      <c r="F25" s="14">
        <f t="shared" si="0"/>
        <v>-345792.27617048635</v>
      </c>
      <c r="H25" s="14">
        <f>H24*(1+Inputs!$C$35-Inputs!$C$42)+((Engine!E8+Engine!F8)*Rules!$C$15+Inputs!$D$50*(1+Inputs!$C$39)^(A25-1))*(1-Rules!$C$18)</f>
        <v>279965.44900000002</v>
      </c>
      <c r="I25" s="14">
        <f>IF(I24&lt;=0,0,MAX(0,I24*(1+Inputs!$C$26)-Inputs!$C$28-Inputs!$E$50))</f>
        <v>692596.42517048633</v>
      </c>
      <c r="J25" s="14">
        <f>J24*(1+Inputs!$C$36)+Inputs!$F$50+IF(I24&lt;=0,Inputs!$C$28+Inputs!$E$50,0)</f>
        <v>79395.75</v>
      </c>
      <c r="K25" s="14">
        <f t="shared" si="1"/>
        <v>-333235.2261704863</v>
      </c>
      <c r="M25" s="14">
        <f>M24*(1+Inputs!$C$35-Inputs!$C$42)+((Engine!E8+Engine!F8)*Rules!$C$15+Inputs!$D$51*(1+Inputs!$C$39)^(A25-1))*(1-Rules!$C$18)</f>
        <v>219665.59899999999</v>
      </c>
      <c r="N25" s="14">
        <f>IF(N24&lt;=0,0,MAX(0,N24*(1+Inputs!$C$26)-Inputs!$C$28-Inputs!$E$51))</f>
        <v>644992.34517048637</v>
      </c>
      <c r="O25" s="14">
        <f>O24*(1+Inputs!$C$36)+Inputs!$F$51+IF(N24&lt;=0,Inputs!$C$28+Inputs!$E$51,0)</f>
        <v>79395.75</v>
      </c>
      <c r="P25" s="14">
        <f t="shared" si="2"/>
        <v>-345930.99617048638</v>
      </c>
      <c r="R25" s="14">
        <f>R24*(1+Inputs!$C$35-Inputs!$C$42)+((Engine!E8+Engine!F8)*Rules!$C$15+Inputs!$D$52*(1+Inputs!$C$39)^(A25-1))*(1-Rules!$C$18)</f>
        <v>249815.52399999998</v>
      </c>
      <c r="S25" s="14">
        <f>IF(S24&lt;=0,0,MAX(0,S24*(1+Inputs!$C$26)-Inputs!$C$28-Inputs!$E$52))</f>
        <v>668794.38517048641</v>
      </c>
      <c r="T25" s="14">
        <f>T24*(1+Inputs!$C$36)+Inputs!$F$52+IF(S24&lt;=0,Inputs!$C$28+Inputs!$E$52,0)</f>
        <v>79395.75</v>
      </c>
      <c r="U25" s="14">
        <f t="shared" si="3"/>
        <v>-339583.11117048643</v>
      </c>
    </row>
    <row r="26" spans="1:21" x14ac:dyDescent="0.25">
      <c r="A26" s="6">
        <v>3</v>
      </c>
      <c r="B26" s="6" t="s">
        <v>206</v>
      </c>
      <c r="C26" s="12">
        <f>C25*(1+Inputs!$C$35-Inputs!$C$42)+((Engine!E9+Engine!F9)*Rules!$C$15+Inputs!$D$49*(1+Inputs!$C$39)^(A26-1))*(1-Rules!$C$18)</f>
        <v>252961.58274349998</v>
      </c>
      <c r="D26" s="12">
        <f>IF(D25&lt;=0,0,MAX(0,D25*(1+Inputs!$C$26)-Inputs!$C$28-Inputs!$E$49))</f>
        <v>677670.44726695167</v>
      </c>
      <c r="E26" s="12">
        <f>E25*(1+Inputs!$C$36)+Inputs!$F$49+IF(D25&lt;=0,Inputs!$C$28+Inputs!$E$49,0)</f>
        <v>158522.55574999997</v>
      </c>
      <c r="F26" s="12">
        <f t="shared" si="0"/>
        <v>-266186.30877345172</v>
      </c>
      <c r="H26" s="12">
        <f>H25*(1+Inputs!$C$35-Inputs!$C$42)+((Engine!E9+Engine!F9)*Rules!$C$15+Inputs!$D$50*(1+Inputs!$C$39)^(A26-1))*(1-Rules!$C$18)</f>
        <v>347328.38426850003</v>
      </c>
      <c r="I26" s="12">
        <f>IF(I25&lt;=0,0,MAX(0,I25*(1+Inputs!$C$26)-Inputs!$C$28-Inputs!$E$50))</f>
        <v>677670.44726695167</v>
      </c>
      <c r="J26" s="12">
        <f>J25*(1+Inputs!$C$36)+Inputs!$F$50+IF(I25&lt;=0,Inputs!$C$28+Inputs!$E$50,0)</f>
        <v>84556.47374999999</v>
      </c>
      <c r="K26" s="12">
        <f t="shared" si="1"/>
        <v>-245785.58924845164</v>
      </c>
      <c r="M26" s="12">
        <f>M25*(1+Inputs!$C$35-Inputs!$C$42)+((Engine!E9+Engine!F9)*Rules!$C$15+Inputs!$D$51*(1+Inputs!$C$39)^(A26-1))*(1-Rules!$C$18)</f>
        <v>252961.58274349998</v>
      </c>
      <c r="N26" s="12">
        <f>IF(N25&lt;=0,0,MAX(0,N25*(1+Inputs!$C$26)-Inputs!$C$28-Inputs!$E$51))</f>
        <v>604137.72654695169</v>
      </c>
      <c r="O26" s="12">
        <f>O25*(1+Inputs!$C$36)+Inputs!$F$51+IF(N25&lt;=0,Inputs!$C$28+Inputs!$E$51,0)</f>
        <v>84556.47374999999</v>
      </c>
      <c r="P26" s="12">
        <f t="shared" si="2"/>
        <v>-266619.67005345173</v>
      </c>
      <c r="R26" s="12">
        <f>R25*(1+Inputs!$C$35-Inputs!$C$42)+((Engine!E9+Engine!F9)*Rules!$C$15+Inputs!$D$52*(1+Inputs!$C$39)^(A26-1))*(1-Rules!$C$18)</f>
        <v>300144.98350599996</v>
      </c>
      <c r="S26" s="12">
        <f>IF(S25&lt;=0,0,MAX(0,S25*(1+Inputs!$C$26)-Inputs!$C$28-Inputs!$E$52))</f>
        <v>640904.08690695174</v>
      </c>
      <c r="T26" s="12">
        <f>T25*(1+Inputs!$C$36)+Inputs!$F$52+IF(S25&lt;=0,Inputs!$C$28+Inputs!$E$52,0)</f>
        <v>84556.47374999999</v>
      </c>
      <c r="U26" s="12">
        <f t="shared" si="3"/>
        <v>-256202.62965095177</v>
      </c>
    </row>
    <row r="27" spans="1:21" x14ac:dyDescent="0.25">
      <c r="A27" s="6">
        <v>4</v>
      </c>
      <c r="B27" s="6" t="s">
        <v>207</v>
      </c>
      <c r="C27" s="14">
        <f>C26*(1+Inputs!$C$35-Inputs!$C$42)+((Engine!E10+Engine!F10)*Rules!$C$15+Inputs!$D$49*(1+Inputs!$C$39)^(A27-1))*(1-Rules!$C$18)</f>
        <v>288765.33589050773</v>
      </c>
      <c r="D27" s="14">
        <f>IF(D26&lt;=0,0,MAX(0,D26*(1+Inputs!$C$26)-Inputs!$C$28-Inputs!$E$49))</f>
        <v>661863.83666710847</v>
      </c>
      <c r="E27" s="14">
        <f>E26*(1+Inputs!$C$36)+Inputs!$F$49+IF(D26&lt;=0,Inputs!$C$28+Inputs!$E$49,0)</f>
        <v>191946.52187374997</v>
      </c>
      <c r="F27" s="14">
        <f t="shared" si="0"/>
        <v>-181151.97890285077</v>
      </c>
      <c r="H27" s="14">
        <f>H26*(1+Inputs!$C$35-Inputs!$C$42)+((Engine!E10+Engine!F10)*Rules!$C$15+Inputs!$D$50*(1+Inputs!$C$39)^(A27-1))*(1-Rules!$C$18)</f>
        <v>420043.67200167029</v>
      </c>
      <c r="I27" s="14">
        <f>IF(I26&lt;=0,0,MAX(0,I26*(1+Inputs!$C$26)-Inputs!$C$28-Inputs!$E$50))</f>
        <v>661863.83666710847</v>
      </c>
      <c r="J27" s="14">
        <f>J26*(1+Inputs!$C$36)+Inputs!$F$50+IF(I26&lt;=0,Inputs!$C$28+Inputs!$E$50,0)</f>
        <v>90052.644543749979</v>
      </c>
      <c r="K27" s="14">
        <f t="shared" si="1"/>
        <v>-151767.5201216882</v>
      </c>
      <c r="M27" s="14">
        <f>M26*(1+Inputs!$C$35-Inputs!$C$42)+((Engine!E10+Engine!F10)*Rules!$C$15+Inputs!$D$51*(1+Inputs!$C$39)^(A27-1))*(1-Rules!$C$18)</f>
        <v>288765.33589050773</v>
      </c>
      <c r="N27" s="14">
        <f>IF(N26&lt;=0,0,MAX(0,N26*(1+Inputs!$C$26)-Inputs!$C$28-Inputs!$E$51))</f>
        <v>560872.68542462855</v>
      </c>
      <c r="O27" s="14">
        <f>O26*(1+Inputs!$C$36)+Inputs!$F$51+IF(N26&lt;=0,Inputs!$C$28+Inputs!$E$51,0)</f>
        <v>90052.644543749979</v>
      </c>
      <c r="P27" s="14">
        <f t="shared" si="2"/>
        <v>-182054.70499037084</v>
      </c>
      <c r="R27" s="14">
        <f>R26*(1+Inputs!$C$35-Inputs!$C$42)+((Engine!E10+Engine!F10)*Rules!$C$15+Inputs!$D$52*(1+Inputs!$C$39)^(A27-1))*(1-Rules!$C$18)</f>
        <v>354404.50394608895</v>
      </c>
      <c r="S27" s="14">
        <f>IF(S26&lt;=0,0,MAX(0,S26*(1+Inputs!$C$26)-Inputs!$C$28-Inputs!$E$52))</f>
        <v>611368.26104586851</v>
      </c>
      <c r="T27" s="14">
        <f>T26*(1+Inputs!$C$36)+Inputs!$F$52+IF(S26&lt;=0,Inputs!$C$28+Inputs!$E$52,0)</f>
        <v>90052.644543749979</v>
      </c>
      <c r="U27" s="14">
        <f t="shared" si="3"/>
        <v>-166911.11255602958</v>
      </c>
    </row>
    <row r="28" spans="1:21" x14ac:dyDescent="0.25">
      <c r="A28" s="6">
        <v>5</v>
      </c>
      <c r="B28" s="6" t="s">
        <v>208</v>
      </c>
      <c r="C28" s="12">
        <f>C27*(1+Inputs!$C$35-Inputs!$C$42)+((Engine!E11+Engine!F11)*Rules!$C$15+Inputs!$D$49*(1+Inputs!$C$39)^(A28-1))*(1-Rules!$C$18)</f>
        <v>327237.34380198142</v>
      </c>
      <c r="D28" s="12">
        <f>IF(D27&lt;=0,0,MAX(0,D27*(1+Inputs!$C$26)-Inputs!$C$28-Inputs!$E$49))</f>
        <v>645124.63604187453</v>
      </c>
      <c r="E28" s="12">
        <f>E27*(1+Inputs!$C$36)+Inputs!$F$49+IF(D27&lt;=0,Inputs!$C$28+Inputs!$E$49,0)</f>
        <v>227543.0457955437</v>
      </c>
      <c r="F28" s="12">
        <f t="shared" si="0"/>
        <v>-90344.24644434941</v>
      </c>
      <c r="H28" s="12">
        <f>H27*(1+Inputs!$C$35-Inputs!$C$42)+((Engine!E11+Engine!F11)*Rules!$C$15+Inputs!$D$50*(1+Inputs!$C$39)^(A28-1))*(1-Rules!$C$18)</f>
        <v>498460.11051242467</v>
      </c>
      <c r="I28" s="12">
        <f>IF(I27&lt;=0,0,MAX(0,I27*(1+Inputs!$C$26)-Inputs!$C$28-Inputs!$E$50))</f>
        <v>645124.63604187453</v>
      </c>
      <c r="J28" s="12">
        <f>J27*(1+Inputs!$C$36)+Inputs!$F$50+IF(I27&lt;=0,Inputs!$C$28+Inputs!$E$50,0)</f>
        <v>95906.066439093716</v>
      </c>
      <c r="K28" s="12">
        <f t="shared" si="1"/>
        <v>-50758.459090356133</v>
      </c>
      <c r="M28" s="12">
        <f>M27*(1+Inputs!$C$35-Inputs!$C$42)+((Engine!E11+Engine!F11)*Rules!$C$15+Inputs!$D$51*(1+Inputs!$C$39)^(A28-1))*(1-Rules!$C$18)</f>
        <v>327237.34380198142</v>
      </c>
      <c r="N28" s="12">
        <f>IF(N27&lt;=0,0,MAX(0,N27*(1+Inputs!$C$26)-Inputs!$C$28-Inputs!$E$51))</f>
        <v>515055.00687608833</v>
      </c>
      <c r="O28" s="12">
        <f>O27*(1+Inputs!$C$36)+Inputs!$F$51+IF(N27&lt;=0,Inputs!$C$28+Inputs!$E$51,0)</f>
        <v>95906.066439093716</v>
      </c>
      <c r="P28" s="12">
        <f t="shared" si="2"/>
        <v>-91911.596635013178</v>
      </c>
      <c r="R28" s="12">
        <f>R27*(1+Inputs!$C$35-Inputs!$C$42)+((Engine!E11+Engine!F11)*Rules!$C$15+Inputs!$D$52*(1+Inputs!$C$39)^(A28-1))*(1-Rules!$C$18)</f>
        <v>412848.72715720296</v>
      </c>
      <c r="S28" s="12">
        <f>IF(S27&lt;=0,0,MAX(0,S27*(1+Inputs!$C$26)-Inputs!$C$28-Inputs!$E$52))</f>
        <v>580089.82145898137</v>
      </c>
      <c r="T28" s="12">
        <f>T27*(1+Inputs!$C$36)+Inputs!$F$52+IF(S27&lt;=0,Inputs!$C$28+Inputs!$E$52,0)</f>
        <v>95906.066439093716</v>
      </c>
      <c r="U28" s="12">
        <f t="shared" si="3"/>
        <v>-71335.027862684685</v>
      </c>
    </row>
    <row r="29" spans="1:21" x14ac:dyDescent="0.25">
      <c r="A29" s="6">
        <v>6</v>
      </c>
      <c r="B29" s="6" t="s">
        <v>209</v>
      </c>
      <c r="C29" s="14">
        <f>C28*(1+Inputs!$C$35-Inputs!$C$42)+((Engine!E12+Engine!F12)*Rules!$C$15+Inputs!$D$49*(1+Inputs!$C$39)^(A29-1))*(1-Rules!$C$18)</f>
        <v>368547.72315346322</v>
      </c>
      <c r="D29" s="14">
        <f>IF(D28&lt;=0,0,MAX(0,D28*(1+Inputs!$C$26)-Inputs!$C$28-Inputs!$E$49))</f>
        <v>627397.82257975184</v>
      </c>
      <c r="E29" s="14">
        <f>E28*(1+Inputs!$C$36)+Inputs!$F$49+IF(D28&lt;=0,Inputs!$C$28+Inputs!$E$49,0)</f>
        <v>265453.34377225401</v>
      </c>
      <c r="F29" s="14">
        <f t="shared" si="0"/>
        <v>6603.244345965446</v>
      </c>
      <c r="H29" s="14">
        <f>H28*(1+Inputs!$C$35-Inputs!$C$42)+((Engine!E12+Engine!F12)*Rules!$C$15+Inputs!$D$50*(1+Inputs!$C$39)^(A29-1))*(1-Rules!$C$18)</f>
        <v>582947.59693031653</v>
      </c>
      <c r="I29" s="14">
        <f>IF(I28&lt;=0,0,MAX(0,I28*(1+Inputs!$C$26)-Inputs!$C$28-Inputs!$E$50))</f>
        <v>627397.82257975184</v>
      </c>
      <c r="J29" s="14">
        <f>J28*(1+Inputs!$C$36)+Inputs!$F$50+IF(I28&lt;=0,Inputs!$C$28+Inputs!$E$50,0)</f>
        <v>102139.96075763481</v>
      </c>
      <c r="K29" s="14">
        <f t="shared" si="1"/>
        <v>57689.735108199529</v>
      </c>
      <c r="M29" s="14">
        <f>M28*(1+Inputs!$C$35-Inputs!$C$42)+((Engine!E12+Engine!F12)*Rules!$C$15+Inputs!$D$51*(1+Inputs!$C$39)^(A29-1))*(1-Rules!$C$18)</f>
        <v>368547.72315346322</v>
      </c>
      <c r="N29" s="14">
        <f>IF(N28&lt;=0,0,MAX(0,N28*(1+Inputs!$C$26)-Inputs!$C$28-Inputs!$E$51))</f>
        <v>466534.08529318427</v>
      </c>
      <c r="O29" s="14">
        <f>O28*(1+Inputs!$C$36)+Inputs!$F$51+IF(N28&lt;=0,Inputs!$C$28+Inputs!$E$51,0)</f>
        <v>102139.96075763481</v>
      </c>
      <c r="P29" s="14">
        <f t="shared" si="2"/>
        <v>4153.5986179137835</v>
      </c>
      <c r="R29" s="14">
        <f>R28*(1+Inputs!$C$35-Inputs!$C$42)+((Engine!E12+Engine!F12)*Rules!$C$15+Inputs!$D$52*(1+Inputs!$C$39)^(A29-1))*(1-Rules!$C$18)</f>
        <v>475747.6600418897</v>
      </c>
      <c r="S29" s="14">
        <f>IF(S28&lt;=0,0,MAX(0,S28*(1+Inputs!$C$26)-Inputs!$C$28-Inputs!$E$52))</f>
        <v>546965.95393646799</v>
      </c>
      <c r="T29" s="14">
        <f>T28*(1+Inputs!$C$36)+Inputs!$F$52+IF(S28&lt;=0,Inputs!$C$28+Inputs!$E$52,0)</f>
        <v>102139.96075763481</v>
      </c>
      <c r="U29" s="14">
        <f t="shared" si="3"/>
        <v>30921.666863056482</v>
      </c>
    </row>
    <row r="30" spans="1:21" x14ac:dyDescent="0.25">
      <c r="A30" s="6">
        <v>7</v>
      </c>
      <c r="B30" s="6" t="s">
        <v>210</v>
      </c>
      <c r="C30" s="12">
        <f>C29*(1+Inputs!$C$35-Inputs!$C$42)+((Engine!E13+Engine!F13)*Rules!$C$15+Inputs!$D$49*(1+Inputs!$C$39)^(A30-1))*(1-Rules!$C$18)</f>
        <v>412876.78302110377</v>
      </c>
      <c r="D30" s="12">
        <f>IF(D29&lt;=0,0,MAX(0,D29*(1+Inputs!$C$26)-Inputs!$C$28-Inputs!$E$49))</f>
        <v>608625.1271233639</v>
      </c>
      <c r="E30" s="12">
        <f>E29*(1+Inputs!$C$36)+Inputs!$F$49+IF(D29&lt;=0,Inputs!$C$28+Inputs!$E$49,0)</f>
        <v>305827.81111745053</v>
      </c>
      <c r="F30" s="12">
        <f t="shared" si="0"/>
        <v>110079.4670151904</v>
      </c>
      <c r="H30" s="12">
        <f>H29*(1+Inputs!$C$35-Inputs!$C$42)+((Engine!E13+Engine!F13)*Rules!$C$15+Inputs!$D$50*(1+Inputs!$C$39)^(A30-1))*(1-Rules!$C$18)</f>
        <v>673898.36103603733</v>
      </c>
      <c r="I30" s="12">
        <f>IF(I29&lt;=0,0,MAX(0,I29*(1+Inputs!$C$26)-Inputs!$C$28-Inputs!$E$50))</f>
        <v>608625.1271233639</v>
      </c>
      <c r="J30" s="12">
        <f>J29*(1+Inputs!$C$36)+Inputs!$F$50+IF(I29&lt;=0,Inputs!$C$28+Inputs!$E$50,0)</f>
        <v>108779.05820688106</v>
      </c>
      <c r="K30" s="12">
        <f t="shared" si="1"/>
        <v>174052.29211955448</v>
      </c>
      <c r="M30" s="12">
        <f>M29*(1+Inputs!$C$35-Inputs!$C$42)+((Engine!E13+Engine!F13)*Rules!$C$15+Inputs!$D$51*(1+Inputs!$C$39)^(A30-1))*(1-Rules!$C$18)</f>
        <v>412876.78302110377</v>
      </c>
      <c r="N30" s="12">
        <f>IF(N29&lt;=0,0,MAX(0,N29*(1+Inputs!$C$26)-Inputs!$C$28-Inputs!$E$51))</f>
        <v>415150.42933688883</v>
      </c>
      <c r="O30" s="12">
        <f>O29*(1+Inputs!$C$36)+Inputs!$F$51+IF(N29&lt;=0,Inputs!$C$28+Inputs!$E$51,0)</f>
        <v>108779.05820688106</v>
      </c>
      <c r="P30" s="12">
        <f t="shared" si="2"/>
        <v>106505.41189109598</v>
      </c>
      <c r="R30" s="12">
        <f>R29*(1+Inputs!$C$35-Inputs!$C$42)+((Engine!E13+Engine!F13)*Rules!$C$15+Inputs!$D$52*(1+Inputs!$C$39)^(A30-1))*(1-Rules!$C$18)</f>
        <v>543387.57202857046</v>
      </c>
      <c r="S30" s="12">
        <f>IF(S29&lt;=0,0,MAX(0,S29*(1+Inputs!$C$26)-Inputs!$C$28-Inputs!$E$52))</f>
        <v>511887.77823012625</v>
      </c>
      <c r="T30" s="12">
        <f>T29*(1+Inputs!$C$36)+Inputs!$F$52+IF(S29&lt;=0,Inputs!$C$28+Inputs!$E$52,0)</f>
        <v>108779.05820688106</v>
      </c>
      <c r="U30" s="12">
        <f t="shared" si="3"/>
        <v>140278.85200532526</v>
      </c>
    </row>
    <row r="31" spans="1:21" x14ac:dyDescent="0.25">
      <c r="A31" s="6">
        <v>8</v>
      </c>
      <c r="B31" s="6" t="s">
        <v>211</v>
      </c>
      <c r="C31" s="14">
        <f>C30*(1+Inputs!$C$35-Inputs!$C$42)+((Engine!E14+Engine!F14)*Rules!$C$15+Inputs!$D$49*(1+Inputs!$C$39)^(A31-1))*(1-Rules!$C$18)</f>
        <v>460415.61817655008</v>
      </c>
      <c r="D31" s="14">
        <f>IF(D30&lt;=0,0,MAX(0,D30*(1+Inputs!$C$26)-Inputs!$C$28-Inputs!$E$49))</f>
        <v>588744.84263504902</v>
      </c>
      <c r="E31" s="14">
        <f>E30*(1+Inputs!$C$36)+Inputs!$F$49+IF(D30&lt;=0,Inputs!$C$28+Inputs!$E$49,0)</f>
        <v>348826.61884008482</v>
      </c>
      <c r="F31" s="14">
        <f t="shared" si="0"/>
        <v>220497.39438158588</v>
      </c>
      <c r="H31" s="14">
        <f>H30*(1+Inputs!$C$35-Inputs!$C$42)+((Engine!E14+Engine!F14)*Rules!$C$15+Inputs!$D$50*(1+Inputs!$C$39)^(A31-1))*(1-Rules!$C$18)</f>
        <v>771728.27006010618</v>
      </c>
      <c r="I31" s="14">
        <f>IF(I30&lt;=0,0,MAX(0,I30*(1+Inputs!$C$26)-Inputs!$C$28-Inputs!$E$50))</f>
        <v>588744.84263504902</v>
      </c>
      <c r="J31" s="14">
        <f>J30*(1+Inputs!$C$36)+Inputs!$F$50+IF(I30&lt;=0,Inputs!$C$28+Inputs!$E$50,0)</f>
        <v>115849.69699032833</v>
      </c>
      <c r="K31" s="14">
        <f t="shared" si="1"/>
        <v>298833.12441538554</v>
      </c>
      <c r="M31" s="14">
        <f>M30*(1+Inputs!$C$35-Inputs!$C$42)+((Engine!E14+Engine!F14)*Rules!$C$15+Inputs!$D$51*(1+Inputs!$C$39)^(A31-1))*(1-Rules!$C$18)</f>
        <v>460415.61817655008</v>
      </c>
      <c r="N31" s="14">
        <f>IF(N30&lt;=0,0,MAX(0,N30*(1+Inputs!$C$26)-Inputs!$C$28-Inputs!$E$51))</f>
        <v>360735.13767917198</v>
      </c>
      <c r="O31" s="14">
        <f>O30*(1+Inputs!$C$36)+Inputs!$F$51+IF(N30&lt;=0,Inputs!$C$28+Inputs!$E$51,0)</f>
        <v>115849.69699032833</v>
      </c>
      <c r="P31" s="14">
        <f t="shared" si="2"/>
        <v>215530.17748770642</v>
      </c>
      <c r="R31" s="14">
        <f>R30*(1+Inputs!$C$35-Inputs!$C$42)+((Engine!E14+Engine!F14)*Rules!$C$15+Inputs!$D$52*(1+Inputs!$C$39)^(A31-1))*(1-Rules!$C$18)</f>
        <v>616071.94411832804</v>
      </c>
      <c r="S31" s="14">
        <f>IF(S30&lt;=0,0,MAX(0,S30*(1+Inputs!$C$26)-Inputs!$C$28-Inputs!$E$52))</f>
        <v>474739.99015711038</v>
      </c>
      <c r="T31" s="14">
        <f>T30*(1+Inputs!$C$36)+Inputs!$F$52+IF(S30&lt;=0,Inputs!$C$28+Inputs!$E$52,0)</f>
        <v>115849.69699032833</v>
      </c>
      <c r="U31" s="14">
        <f t="shared" si="3"/>
        <v>257181.65095154603</v>
      </c>
    </row>
    <row r="32" spans="1:21" x14ac:dyDescent="0.25">
      <c r="A32" s="6">
        <v>9</v>
      </c>
      <c r="B32" s="6" t="s">
        <v>212</v>
      </c>
      <c r="C32" s="12">
        <f>C31*(1+Inputs!$C$35-Inputs!$C$42)+((Engine!E15+Engine!F15)*Rules!$C$15+Inputs!$D$49*(1+Inputs!$C$39)^(A32-1))*(1-Rules!$C$18)</f>
        <v>511366.73642572179</v>
      </c>
      <c r="D32" s="12">
        <f>IF(D31&lt;=0,0,MAX(0,D31*(1+Inputs!$C$26)-Inputs!$C$28-Inputs!$E$49))</f>
        <v>567691.62136192364</v>
      </c>
      <c r="E32" s="12">
        <f>E31*(1+Inputs!$C$36)+Inputs!$F$49+IF(D31&lt;=0,Inputs!$C$28+Inputs!$E$49,0)</f>
        <v>394620.34906469029</v>
      </c>
      <c r="F32" s="12">
        <f t="shared" si="0"/>
        <v>338295.46412848844</v>
      </c>
      <c r="H32" s="12">
        <f>H31*(1+Inputs!$C$35-Inputs!$C$42)+((Engine!E15+Engine!F15)*Rules!$C$15+Inputs!$D$50*(1+Inputs!$C$39)^(A32-1))*(1-Rules!$C$18)</f>
        <v>876878.20849280094</v>
      </c>
      <c r="I32" s="12">
        <f>IF(I31&lt;=0,0,MAX(0,I31*(1+Inputs!$C$26)-Inputs!$C$28-Inputs!$E$50))</f>
        <v>567691.62136192364</v>
      </c>
      <c r="J32" s="12">
        <f>J31*(1+Inputs!$C$36)+Inputs!$F$50+IF(I31&lt;=0,Inputs!$C$28+Inputs!$E$50,0)</f>
        <v>123379.92729469966</v>
      </c>
      <c r="K32" s="12">
        <f t="shared" si="1"/>
        <v>432566.51442557701</v>
      </c>
      <c r="M32" s="12">
        <f>M31*(1+Inputs!$C$35-Inputs!$C$42)+((Engine!E15+Engine!F15)*Rules!$C$15+Inputs!$D$51*(1+Inputs!$C$39)^(A32-1))*(1-Rules!$C$18)</f>
        <v>511366.73642572179</v>
      </c>
      <c r="N32" s="12">
        <f>IF(N31&lt;=0,0,MAX(0,N31*(1+Inputs!$C$26)-Inputs!$C$28-Inputs!$E$51))</f>
        <v>303109.34381364979</v>
      </c>
      <c r="O32" s="12">
        <f>O31*(1+Inputs!$C$36)+Inputs!$F$51+IF(N31&lt;=0,Inputs!$C$28+Inputs!$E$51,0)</f>
        <v>123379.92729469966</v>
      </c>
      <c r="P32" s="12">
        <f t="shared" si="2"/>
        <v>331637.31990677171</v>
      </c>
      <c r="R32" s="12">
        <f>R31*(1+Inputs!$C$35-Inputs!$C$42)+((Engine!E15+Engine!F15)*Rules!$C$15+Inputs!$D$52*(1+Inputs!$C$39)^(A32-1))*(1-Rules!$C$18)</f>
        <v>694122.47245926119</v>
      </c>
      <c r="S32" s="12">
        <f>IF(S31&lt;=0,0,MAX(0,S31*(1+Inputs!$C$26)-Inputs!$C$28-Inputs!$E$52))</f>
        <v>435400.48258778657</v>
      </c>
      <c r="T32" s="12">
        <f>T31*(1+Inputs!$C$36)+Inputs!$F$52+IF(S31&lt;=0,Inputs!$C$28+Inputs!$E$52,0)</f>
        <v>123379.92729469966</v>
      </c>
      <c r="U32" s="12">
        <f t="shared" si="3"/>
        <v>382101.91716617433</v>
      </c>
    </row>
    <row r="33" spans="1:21" x14ac:dyDescent="0.25">
      <c r="A33" s="6">
        <v>10</v>
      </c>
      <c r="B33" s="6" t="s">
        <v>213</v>
      </c>
      <c r="C33" s="14">
        <f>C32*(1+Inputs!$C$35-Inputs!$C$42)+((Engine!E16+Engine!F16)*Rules!$C$15+Inputs!$D$49*(1+Inputs!$C$39)^(A33-1))*(1-Rules!$C$18)</f>
        <v>565944.72193063761</v>
      </c>
      <c r="D33" s="14">
        <f>IF(D32&lt;=0,0,MAX(0,D32*(1+Inputs!$C$26)-Inputs!$C$28-Inputs!$E$49))</f>
        <v>545396.26003368385</v>
      </c>
      <c r="E33" s="14">
        <f>E32*(1+Inputs!$C$36)+Inputs!$F$49+IF(D32&lt;=0,Inputs!$C$28+Inputs!$E$49,0)</f>
        <v>443390.67175389512</v>
      </c>
      <c r="F33" s="14">
        <f t="shared" si="0"/>
        <v>463939.13365084887</v>
      </c>
      <c r="H33" s="14">
        <f>H32*(1+Inputs!$C$35-Inputs!$C$42)+((Engine!E16+Engine!F16)*Rules!$C$15+Inputs!$D$50*(1+Inputs!$C$39)^(A33-1))*(1-Rules!$C$18)</f>
        <v>989815.53718217183</v>
      </c>
      <c r="I33" s="14">
        <f>IF(I32&lt;=0,0,MAX(0,I32*(1+Inputs!$C$26)-Inputs!$C$28-Inputs!$E$50))</f>
        <v>545396.26003368385</v>
      </c>
      <c r="J33" s="14">
        <f>J32*(1+Inputs!$C$36)+Inputs!$F$50+IF(I32&lt;=0,Inputs!$C$28+Inputs!$E$50,0)</f>
        <v>131399.62256885515</v>
      </c>
      <c r="K33" s="14">
        <f t="shared" si="1"/>
        <v>575818.89971734304</v>
      </c>
      <c r="M33" s="14">
        <f>M32*(1+Inputs!$C$35-Inputs!$C$42)+((Engine!E16+Engine!F16)*Rules!$C$15+Inputs!$D$51*(1+Inputs!$C$39)^(A33-1))*(1-Rules!$C$18)</f>
        <v>565944.72193063761</v>
      </c>
      <c r="N33" s="14">
        <f>IF(N32&lt;=0,0,MAX(0,N32*(1+Inputs!$C$26)-Inputs!$C$28-Inputs!$E$51))</f>
        <v>242083.62811006181</v>
      </c>
      <c r="O33" s="14">
        <f>O32*(1+Inputs!$C$36)+Inputs!$F$51+IF(N32&lt;=0,Inputs!$C$28+Inputs!$E$51,0)</f>
        <v>131399.62256885515</v>
      </c>
      <c r="P33" s="14">
        <f t="shared" si="2"/>
        <v>455260.71638943098</v>
      </c>
      <c r="R33" s="14">
        <f>R32*(1+Inputs!$C$35-Inputs!$C$42)+((Engine!E16+Engine!F16)*Rules!$C$15+Inputs!$D$52*(1+Inputs!$C$39)^(A33-1))*(1-Rules!$C$18)</f>
        <v>777880.12955640454</v>
      </c>
      <c r="S33" s="14">
        <f>IF(S32&lt;=0,0,MAX(0,S32*(1+Inputs!$C$26)-Inputs!$C$28-Inputs!$E$52))</f>
        <v>393739.94407187263</v>
      </c>
      <c r="T33" s="14">
        <f>T32*(1+Inputs!$C$36)+Inputs!$F$52+IF(S32&lt;=0,Inputs!$C$28+Inputs!$E$52,0)</f>
        <v>131399.62256885515</v>
      </c>
      <c r="U33" s="14">
        <f t="shared" si="3"/>
        <v>515539.8080533871</v>
      </c>
    </row>
    <row r="34" spans="1:21" x14ac:dyDescent="0.25">
      <c r="A34" s="6">
        <v>11</v>
      </c>
      <c r="B34" s="6" t="s">
        <v>214</v>
      </c>
      <c r="C34" s="12">
        <f>C33*(1+Inputs!$C$35-Inputs!$C$42)+((Engine!E17+Engine!F17)*Rules!$C$15+Inputs!$D$49*(1+Inputs!$C$39)^(A34-1))*(1-Rules!$C$18)</f>
        <v>624376.93656348705</v>
      </c>
      <c r="D34" s="12">
        <f>IF(D33&lt;=0,0,MAX(0,D33*(1+Inputs!$C$26)-Inputs!$C$28-Inputs!$E$49))</f>
        <v>521785.47238707787</v>
      </c>
      <c r="E34" s="12">
        <f>E33*(1+Inputs!$C$36)+Inputs!$F$49+IF(D33&lt;=0,Inputs!$C$28+Inputs!$E$49,0)</f>
        <v>495331.06541789829</v>
      </c>
      <c r="F34" s="12">
        <f t="shared" si="0"/>
        <v>597922.52959430742</v>
      </c>
      <c r="H34" s="12">
        <f>H33*(1+Inputs!$C$35-Inputs!$C$42)+((Engine!E17+Engine!F17)*Rules!$C$15+Inputs!$D$50*(1+Inputs!$C$39)^(A34-1))*(1-Rules!$C$18)</f>
        <v>1111035.636239778</v>
      </c>
      <c r="I34" s="12">
        <f>IF(I33&lt;=0,0,MAX(0,I33*(1+Inputs!$C$26)-Inputs!$C$28-Inputs!$E$50))</f>
        <v>521785.47238707787</v>
      </c>
      <c r="J34" s="12">
        <f>J33*(1+Inputs!$C$36)+Inputs!$F$50+IF(I33&lt;=0,Inputs!$C$28+Inputs!$E$50,0)</f>
        <v>139940.59803583071</v>
      </c>
      <c r="K34" s="12">
        <f t="shared" si="1"/>
        <v>729190.76188853092</v>
      </c>
      <c r="M34" s="12">
        <f>M33*(1+Inputs!$C$35-Inputs!$C$42)+((Engine!E17+Engine!F17)*Rules!$C$15+Inputs!$D$51*(1+Inputs!$C$39)^(A34-1))*(1-Rules!$C$18)</f>
        <v>624376.93656348705</v>
      </c>
      <c r="N34" s="12">
        <f>IF(N33&lt;=0,0,MAX(0,N33*(1+Inputs!$C$26)-Inputs!$C$28-Inputs!$E$51))</f>
        <v>177457.39517996216</v>
      </c>
      <c r="O34" s="12">
        <f>O33*(1+Inputs!$C$36)+Inputs!$F$51+IF(N33&lt;=0,Inputs!$C$28+Inputs!$E$51,0)</f>
        <v>139940.59803583071</v>
      </c>
      <c r="P34" s="12">
        <f t="shared" si="2"/>
        <v>586860.13941935555</v>
      </c>
      <c r="R34" s="12">
        <f>R33*(1+Inputs!$C$35-Inputs!$C$42)+((Engine!E17+Engine!F17)*Rules!$C$15+Inputs!$D$52*(1+Inputs!$C$39)^(A34-1))*(1-Rules!$C$18)</f>
        <v>867706.28640163236</v>
      </c>
      <c r="S34" s="12">
        <f>IF(S33&lt;=0,0,MAX(0,S33*(1+Inputs!$C$26)-Inputs!$C$28-Inputs!$E$52))</f>
        <v>349621.43378351978</v>
      </c>
      <c r="T34" s="12">
        <f>T33*(1+Inputs!$C$36)+Inputs!$F$52+IF(S33&lt;=0,Inputs!$C$28+Inputs!$E$52,0)</f>
        <v>139940.59803583071</v>
      </c>
      <c r="U34" s="12">
        <f t="shared" si="3"/>
        <v>658025.45065394323</v>
      </c>
    </row>
    <row r="35" spans="1:21" x14ac:dyDescent="0.25">
      <c r="A35" s="6">
        <v>12</v>
      </c>
      <c r="B35" s="6" t="s">
        <v>215</v>
      </c>
      <c r="C35" s="14">
        <f>C34*(1+Inputs!$C$35-Inputs!$C$42)+((Engine!E18+Engine!F18)*Rules!$C$15+Inputs!$D$49*(1+Inputs!$C$39)^(A35-1))*(1-Rules!$C$18)</f>
        <v>686904.26145840541</v>
      </c>
      <c r="D35" s="14">
        <f>IF(D34&lt;=0,0,MAX(0,D34*(1+Inputs!$C$26)-Inputs!$C$28-Inputs!$E$49))</f>
        <v>496781.64826932212</v>
      </c>
      <c r="E35" s="14">
        <f>E34*(1+Inputs!$C$36)+Inputs!$F$49+IF(D34&lt;=0,Inputs!$C$28+Inputs!$E$49,0)</f>
        <v>550647.58467006171</v>
      </c>
      <c r="F35" s="14">
        <f t="shared" si="0"/>
        <v>740770.19785914489</v>
      </c>
      <c r="H35" s="14">
        <f>H34*(1+Inputs!$C$35-Inputs!$C$42)+((Engine!E18+Engine!F18)*Rules!$C$15+Inputs!$D$50*(1+Inputs!$C$39)^(A35-1))*(1-Rules!$C$18)</f>
        <v>1241063.5365303436</v>
      </c>
      <c r="I35" s="14">
        <f>IF(I34&lt;=0,0,MAX(0,I34*(1+Inputs!$C$26)-Inputs!$C$28-Inputs!$E$50))</f>
        <v>496781.64826932212</v>
      </c>
      <c r="J35" s="14">
        <f>J34*(1+Inputs!$C$36)+Inputs!$F$50+IF(I34&lt;=0,Inputs!$C$28+Inputs!$E$50,0)</f>
        <v>149036.73690815971</v>
      </c>
      <c r="K35" s="14">
        <f t="shared" si="1"/>
        <v>893318.62516918115</v>
      </c>
      <c r="M35" s="14">
        <f>M34*(1+Inputs!$C$35-Inputs!$C$42)+((Engine!E18+Engine!F18)*Rules!$C$15+Inputs!$D$51*(1+Inputs!$C$39)^(A35-1))*(1-Rules!$C$18)</f>
        <v>686904.26145840541</v>
      </c>
      <c r="N35" s="14">
        <f>IF(N34&lt;=0,0,MAX(0,N34*(1+Inputs!$C$26)-Inputs!$C$28-Inputs!$E$51))</f>
        <v>109018.21450698661</v>
      </c>
      <c r="O35" s="14">
        <f>O34*(1+Inputs!$C$36)+Inputs!$F$51+IF(N34&lt;=0,Inputs!$C$28+Inputs!$E$51,0)</f>
        <v>149036.73690815971</v>
      </c>
      <c r="P35" s="14">
        <f t="shared" si="2"/>
        <v>726922.78385957843</v>
      </c>
      <c r="R35" s="14">
        <f>R34*(1+Inputs!$C$35-Inputs!$C$42)+((Engine!E18+Engine!F18)*Rules!$C$15+Inputs!$D$52*(1+Inputs!$C$39)^(A35-1))*(1-Rules!$C$18)</f>
        <v>963983.89899437421</v>
      </c>
      <c r="S35" s="14">
        <f>IF(S34&lt;=0,0,MAX(0,S34*(1+Inputs!$C$26)-Inputs!$C$28-Inputs!$E$52))</f>
        <v>302899.93138815416</v>
      </c>
      <c r="T35" s="14">
        <f>T34*(1+Inputs!$C$36)+Inputs!$F$52+IF(S34&lt;=0,Inputs!$C$28+Inputs!$E$52,0)</f>
        <v>149036.73690815971</v>
      </c>
      <c r="U35" s="14">
        <f t="shared" si="3"/>
        <v>810120.70451437985</v>
      </c>
    </row>
    <row r="36" spans="1:21" x14ac:dyDescent="0.25">
      <c r="A36" s="6">
        <v>13</v>
      </c>
      <c r="B36" s="6" t="s">
        <v>216</v>
      </c>
      <c r="C36" s="12">
        <f>C35*(1+Inputs!$C$35-Inputs!$C$42)+((Engine!E19+Engine!F19)*Rules!$C$15+Inputs!$D$49*(1+Inputs!$C$39)^(A36-1))*(1-Rules!$C$18)</f>
        <v>753781.88104925922</v>
      </c>
      <c r="D36" s="12">
        <f>IF(D35&lt;=0,0,MAX(0,D35*(1+Inputs!$C$26)-Inputs!$C$28-Inputs!$E$49))</f>
        <v>470302.59852861881</v>
      </c>
      <c r="E36" s="12">
        <f>E35*(1+Inputs!$C$36)+Inputs!$F$49+IF(D35&lt;=0,Inputs!$C$28+Inputs!$E$49,0)</f>
        <v>609559.67767361575</v>
      </c>
      <c r="F36" s="12">
        <f t="shared" si="0"/>
        <v>893038.96019425627</v>
      </c>
      <c r="H36" s="12">
        <f>H35*(1+Inputs!$C$35-Inputs!$C$42)+((Engine!E19+Engine!F19)*Rules!$C$15+Inputs!$D$50*(1+Inputs!$C$39)^(A36-1))*(1-Rules!$C$18)</f>
        <v>1380455.6447926164</v>
      </c>
      <c r="I36" s="12">
        <f>IF(I35&lt;=0,0,MAX(0,I35*(1+Inputs!$C$26)-Inputs!$C$28-Inputs!$E$50))</f>
        <v>470302.59852861881</v>
      </c>
      <c r="J36" s="12">
        <f>J35*(1+Inputs!$C$36)+Inputs!$F$50+IF(I35&lt;=0,Inputs!$C$28+Inputs!$E$50,0)</f>
        <v>158724.12480719009</v>
      </c>
      <c r="K36" s="12">
        <f t="shared" si="1"/>
        <v>1068877.1710711876</v>
      </c>
      <c r="M36" s="12">
        <f>M35*(1+Inputs!$C$35-Inputs!$C$42)+((Engine!E19+Engine!F19)*Rules!$C$15+Inputs!$D$51*(1+Inputs!$C$39)^(A36-1))*(1-Rules!$C$18)</f>
        <v>753781.88104925922</v>
      </c>
      <c r="N36" s="12">
        <f>IF(N35&lt;=0,0,MAX(0,N35*(1+Inputs!$C$26)-Inputs!$C$28-Inputs!$E$51))</f>
        <v>36541.122174305536</v>
      </c>
      <c r="O36" s="12">
        <f>O35*(1+Inputs!$C$36)+Inputs!$F$51+IF(N35&lt;=0,Inputs!$C$28+Inputs!$E$51,0)</f>
        <v>158724.12480719009</v>
      </c>
      <c r="P36" s="12">
        <f t="shared" si="2"/>
        <v>875964.88368214376</v>
      </c>
      <c r="R36" s="12">
        <f>R35*(1+Inputs!$C$35-Inputs!$C$42)+((Engine!E19+Engine!F19)*Rules!$C$15+Inputs!$D$52*(1+Inputs!$C$39)^(A36-1))*(1-Rules!$C$18)</f>
        <v>1067118.7629209375</v>
      </c>
      <c r="S36" s="12">
        <f>IF(S35&lt;=0,0,MAX(0,S35*(1+Inputs!$C$26)-Inputs!$C$28-Inputs!$E$52))</f>
        <v>253421.86035146192</v>
      </c>
      <c r="T36" s="12">
        <f>T35*(1+Inputs!$C$36)+Inputs!$F$52+IF(S35&lt;=0,Inputs!$C$28+Inputs!$E$52,0)</f>
        <v>158724.12480719009</v>
      </c>
      <c r="U36" s="12">
        <f t="shared" si="3"/>
        <v>972421.02737666573</v>
      </c>
    </row>
    <row r="37" spans="1:21" x14ac:dyDescent="0.25">
      <c r="A37" s="6">
        <v>14</v>
      </c>
      <c r="B37" s="6" t="s">
        <v>217</v>
      </c>
      <c r="C37" s="14">
        <f>C36*(1+Inputs!$C$35-Inputs!$C$42)+((Engine!E20+Engine!F20)*Rules!$C$15+Inputs!$D$49*(1+Inputs!$C$39)^(A37-1))*(1-Rules!$C$18)</f>
        <v>825280.11201154988</v>
      </c>
      <c r="D37" s="14">
        <f>IF(D36&lt;=0,0,MAX(0,D36*(1+Inputs!$C$26)-Inputs!$C$28-Inputs!$E$49))</f>
        <v>442261.28485321399</v>
      </c>
      <c r="E37" s="14">
        <f>E36*(1+Inputs!$C$36)+Inputs!$F$49+IF(D36&lt;=0,Inputs!$C$28+Inputs!$E$49,0)</f>
        <v>672301.05672240071</v>
      </c>
      <c r="F37" s="14">
        <f t="shared" si="0"/>
        <v>1055319.8838807368</v>
      </c>
      <c r="H37" s="14">
        <f>H36*(1+Inputs!$C$35-Inputs!$C$42)+((Engine!E20+Engine!F20)*Rules!$C$15+Inputs!$D$50*(1+Inputs!$C$39)^(A37-1))*(1-Rules!$C$18)</f>
        <v>1529801.5677251569</v>
      </c>
      <c r="I37" s="14">
        <f>IF(I36&lt;=0,0,MAX(0,I36*(1+Inputs!$C$26)-Inputs!$C$28-Inputs!$E$50))</f>
        <v>442261.28485321399</v>
      </c>
      <c r="J37" s="14">
        <f>J36*(1+Inputs!$C$36)+Inputs!$F$50+IF(I36&lt;=0,Inputs!$C$28+Inputs!$E$50,0)</f>
        <v>169041.19291965745</v>
      </c>
      <c r="K37" s="14">
        <f t="shared" si="1"/>
        <v>1256581.4757916005</v>
      </c>
      <c r="M37" s="14">
        <f>M36*(1+Inputs!$C$35-Inputs!$C$42)+((Engine!E20+Engine!F20)*Rules!$C$15+Inputs!$D$51*(1+Inputs!$C$39)^(A37-1))*(1-Rules!$C$18)</f>
        <v>825280.11201154988</v>
      </c>
      <c r="N37" s="14">
        <f>IF(N36&lt;=0,0,MAX(0,N36*(1+Inputs!$C$26)-Inputs!$C$28-Inputs!$E$51))</f>
        <v>0</v>
      </c>
      <c r="O37" s="14">
        <f>O36*(1+Inputs!$C$36)+Inputs!$F$51+IF(N36&lt;=0,Inputs!$C$28+Inputs!$E$51,0)</f>
        <v>169041.19291965745</v>
      </c>
      <c r="P37" s="14">
        <f t="shared" si="2"/>
        <v>994321.30493120733</v>
      </c>
      <c r="R37" s="14">
        <f>R36*(1+Inputs!$C$35-Inputs!$C$42)+((Engine!E20+Engine!F20)*Rules!$C$15+Inputs!$D$52*(1+Inputs!$C$39)^(A37-1))*(1-Rules!$C$18)</f>
        <v>1177540.839868353</v>
      </c>
      <c r="S37" s="14">
        <f>IF(S36&lt;=0,0,MAX(0,S36*(1+Inputs!$C$26)-Inputs!$C$28-Inputs!$E$52))</f>
        <v>201024.58312360488</v>
      </c>
      <c r="T37" s="14">
        <f>T36*(1+Inputs!$C$36)+Inputs!$F$52+IF(S36&lt;=0,Inputs!$C$28+Inputs!$E$52,0)</f>
        <v>169041.19291965745</v>
      </c>
      <c r="U37" s="14">
        <f t="shared" si="3"/>
        <v>1145557.4496644055</v>
      </c>
    </row>
    <row r="38" spans="1:21" x14ac:dyDescent="0.25">
      <c r="A38" s="6">
        <v>15</v>
      </c>
      <c r="B38" s="6" t="s">
        <v>218</v>
      </c>
      <c r="C38" s="12">
        <f>C37*(1+Inputs!$C$35-Inputs!$C$42)+((Engine!E21+Engine!F21)*Rules!$C$15+Inputs!$D$49*(1+Inputs!$C$39)^(A38-1))*(1-Rules!$C$18)</f>
        <v>901685.27966370014</v>
      </c>
      <c r="D38" s="12">
        <f>IF(D37&lt;=0,0,MAX(0,D37*(1+Inputs!$C$26)-Inputs!$C$28-Inputs!$E$49))</f>
        <v>412565.53367096029</v>
      </c>
      <c r="E38" s="12">
        <f>E37*(1+Inputs!$C$36)+Inputs!$F$49+IF(D37&lt;=0,Inputs!$C$28+Inputs!$E$49,0)</f>
        <v>739120.62540935667</v>
      </c>
      <c r="F38" s="12">
        <f t="shared" si="0"/>
        <v>1228240.3714020967</v>
      </c>
      <c r="H38" s="12">
        <f>H37*(1+Inputs!$C$35-Inputs!$C$42)+((Engine!E21+Engine!F21)*Rules!$C$15+Inputs!$D$50*(1+Inputs!$C$39)^(A38-1))*(1-Rules!$C$18)</f>
        <v>1689726.0406734387</v>
      </c>
      <c r="I38" s="12">
        <f>IF(I37&lt;=0,0,MAX(0,I37*(1+Inputs!$C$26)-Inputs!$C$28-Inputs!$E$50))</f>
        <v>412565.53367096029</v>
      </c>
      <c r="J38" s="12">
        <f>J37*(1+Inputs!$C$36)+Inputs!$F$50+IF(I37&lt;=0,Inputs!$C$28+Inputs!$E$50,0)</f>
        <v>180028.87045943519</v>
      </c>
      <c r="K38" s="12">
        <f t="shared" si="1"/>
        <v>1457189.3774619137</v>
      </c>
      <c r="M38" s="12">
        <f>M37*(1+Inputs!$C$35-Inputs!$C$42)+((Engine!E21+Engine!F21)*Rules!$C$15+Inputs!$D$51*(1+Inputs!$C$39)^(A38-1))*(1-Rules!$C$18)</f>
        <v>901685.27966370014</v>
      </c>
      <c r="N38" s="12">
        <f>IF(N37&lt;=0,0,MAX(0,N37*(1+Inputs!$C$26)-Inputs!$C$28-Inputs!$E$51))</f>
        <v>0</v>
      </c>
      <c r="O38" s="12">
        <f>O37*(1+Inputs!$C$36)+Inputs!$F$51+IF(N37&lt;=0,Inputs!$C$28+Inputs!$E$51,0)</f>
        <v>258938.03744802845</v>
      </c>
      <c r="P38" s="12">
        <f t="shared" si="2"/>
        <v>1160623.3171117287</v>
      </c>
      <c r="R38" s="12">
        <f>R37*(1+Inputs!$C$35-Inputs!$C$42)+((Engine!E21+Engine!F21)*Rules!$C$15+Inputs!$D$52*(1+Inputs!$C$39)^(A38-1))*(1-Rules!$C$18)</f>
        <v>1295705.6601685691</v>
      </c>
      <c r="S38" s="12">
        <f>IF(S37&lt;=0,0,MAX(0,S37*(1+Inputs!$C$26)-Inputs!$C$28-Inputs!$E$52))</f>
        <v>145535.86653930426</v>
      </c>
      <c r="T38" s="12">
        <f>T37*(1+Inputs!$C$36)+Inputs!$F$52+IF(S37&lt;=0,Inputs!$C$28+Inputs!$E$52,0)</f>
        <v>180028.87045943519</v>
      </c>
      <c r="U38" s="12">
        <f t="shared" si="3"/>
        <v>1330198.6640887</v>
      </c>
    </row>
    <row r="39" spans="1:21" x14ac:dyDescent="0.25">
      <c r="A39" s="6">
        <v>16</v>
      </c>
      <c r="B39" s="6" t="s">
        <v>219</v>
      </c>
      <c r="C39" s="14">
        <f>C38*(1+Inputs!$C$35-Inputs!$C$42)+((Engine!E22+Engine!F22)*Rules!$C$15+Inputs!$D$49*(1+Inputs!$C$39)^(A39-1))*(1-Rules!$C$18)</f>
        <v>983300.64452790178</v>
      </c>
      <c r="D39" s="14">
        <f>IF(D38&lt;=0,0,MAX(0,D38*(1+Inputs!$C$26)-Inputs!$C$28-Inputs!$E$49))</f>
        <v>381117.73316895362</v>
      </c>
      <c r="E39" s="14">
        <f>E38*(1+Inputs!$C$36)+Inputs!$F$49+IF(D38&lt;=0,Inputs!$C$28+Inputs!$E$49,0)</f>
        <v>810283.46606096486</v>
      </c>
      <c r="F39" s="14">
        <f t="shared" si="0"/>
        <v>1412466.3774199132</v>
      </c>
      <c r="H39" s="14">
        <f>H38*(1+Inputs!$C$35-Inputs!$C$42)+((Engine!E22+Engine!F22)*Rules!$C$15+Inputs!$D$50*(1+Inputs!$C$39)^(A39-1))*(1-Rules!$C$18)</f>
        <v>1860890.9668744528</v>
      </c>
      <c r="I39" s="14">
        <f>IF(I38&lt;=0,0,MAX(0,I38*(1+Inputs!$C$26)-Inputs!$C$28-Inputs!$E$50))</f>
        <v>381117.73316895362</v>
      </c>
      <c r="J39" s="14">
        <f>J38*(1+Inputs!$C$36)+Inputs!$F$50+IF(I38&lt;=0,Inputs!$C$28+Inputs!$E$50,0)</f>
        <v>191730.74703929847</v>
      </c>
      <c r="K39" s="14">
        <f t="shared" si="1"/>
        <v>1671503.9807447977</v>
      </c>
      <c r="M39" s="14">
        <f>M38*(1+Inputs!$C$35-Inputs!$C$42)+((Engine!E22+Engine!F22)*Rules!$C$15+Inputs!$D$51*(1+Inputs!$C$39)^(A39-1))*(1-Rules!$C$18)</f>
        <v>983300.64452790178</v>
      </c>
      <c r="N39" s="14">
        <f>IF(N38&lt;=0,0,MAX(0,N38*(1+Inputs!$C$26)-Inputs!$C$28-Inputs!$E$51))</f>
        <v>0</v>
      </c>
      <c r="O39" s="14">
        <f>O38*(1+Inputs!$C$36)+Inputs!$F$51+IF(N38&lt;=0,Inputs!$C$28+Inputs!$E$51,0)</f>
        <v>354678.17687074357</v>
      </c>
      <c r="P39" s="14">
        <f t="shared" si="2"/>
        <v>1337978.8213986454</v>
      </c>
      <c r="R39" s="14">
        <f>R38*(1+Inputs!$C$35-Inputs!$C$42)+((Engine!E22+Engine!F22)*Rules!$C$15+Inputs!$D$52*(1+Inputs!$C$39)^(A39-1))*(1-Rules!$C$18)</f>
        <v>1422095.8057011769</v>
      </c>
      <c r="S39" s="14">
        <f>IF(S38&lt;=0,0,MAX(0,S38*(1+Inputs!$C$26)-Inputs!$C$28-Inputs!$E$52))</f>
        <v>86773.315676529921</v>
      </c>
      <c r="T39" s="14">
        <f>T38*(1+Inputs!$C$36)+Inputs!$F$52+IF(S38&lt;=0,Inputs!$C$28+Inputs!$E$52,0)</f>
        <v>191730.74703929847</v>
      </c>
      <c r="U39" s="14">
        <f t="shared" si="3"/>
        <v>1527053.2370639455</v>
      </c>
    </row>
    <row r="40" spans="1:21" x14ac:dyDescent="0.25">
      <c r="A40" s="6">
        <v>17</v>
      </c>
      <c r="B40" s="6" t="s">
        <v>220</v>
      </c>
      <c r="C40" s="12">
        <f>C39*(1+Inputs!$C$35-Inputs!$C$42)+((Engine!E23+Engine!F23)*Rules!$C$15+Inputs!$D$49*(1+Inputs!$C$39)^(A40-1))*(1-Rules!$C$18)</f>
        <v>1070447.381903827</v>
      </c>
      <c r="D40" s="12">
        <f>IF(D39&lt;=0,0,MAX(0,D39*(1+Inputs!$C$26)-Inputs!$C$28-Inputs!$E$49))</f>
        <v>347814.51243732858</v>
      </c>
      <c r="E40" s="12">
        <f>E39*(1+Inputs!$C$36)+Inputs!$F$49+IF(D39&lt;=0,Inputs!$C$28+Inputs!$E$49,0)</f>
        <v>886071.89135492756</v>
      </c>
      <c r="F40" s="12">
        <f t="shared" si="0"/>
        <v>1608704.7608214258</v>
      </c>
      <c r="H40" s="12">
        <f>H39*(1+Inputs!$C$35-Inputs!$C$42)+((Engine!E23+Engine!F23)*Rules!$C$15+Inputs!$D$50*(1+Inputs!$C$39)^(A40-1))*(1-Rules!$C$18)</f>
        <v>2043997.573552913</v>
      </c>
      <c r="I40" s="12">
        <f>IF(I39&lt;=0,0,MAX(0,I39*(1+Inputs!$C$26)-Inputs!$C$28-Inputs!$E$50))</f>
        <v>347814.51243732858</v>
      </c>
      <c r="J40" s="12">
        <f>J39*(1+Inputs!$C$36)+Inputs!$F$50+IF(I39&lt;=0,Inputs!$C$28+Inputs!$E$50,0)</f>
        <v>204193.24559685285</v>
      </c>
      <c r="K40" s="12">
        <f t="shared" si="1"/>
        <v>1900376.3067124374</v>
      </c>
      <c r="M40" s="12">
        <f>M39*(1+Inputs!$C$35-Inputs!$C$42)+((Engine!E23+Engine!F23)*Rules!$C$15+Inputs!$D$51*(1+Inputs!$C$39)^(A40-1))*(1-Rules!$C$18)</f>
        <v>1070447.381903827</v>
      </c>
      <c r="N40" s="12">
        <f>IF(N39&lt;=0,0,MAX(0,N39*(1+Inputs!$C$26)-Inputs!$C$28-Inputs!$E$51))</f>
        <v>0</v>
      </c>
      <c r="O40" s="12">
        <f>O39*(1+Inputs!$C$36)+Inputs!$F$51+IF(N39&lt;=0,Inputs!$C$28+Inputs!$E$51,0)</f>
        <v>456641.42535593518</v>
      </c>
      <c r="P40" s="12">
        <f t="shared" si="2"/>
        <v>1527088.8072597622</v>
      </c>
      <c r="R40" s="12">
        <f>R39*(1+Inputs!$C$35-Inputs!$C$42)+((Engine!E23+Engine!F23)*Rules!$C$15+Inputs!$D$52*(1+Inputs!$C$39)^(A40-1))*(1-Rules!$C$18)</f>
        <v>1557222.4777283696</v>
      </c>
      <c r="S40" s="12">
        <f>IF(S39&lt;=0,0,MAX(0,S39*(1+Inputs!$C$26)-Inputs!$C$28-Inputs!$E$52))</f>
        <v>24543.7743128519</v>
      </c>
      <c r="T40" s="12">
        <f>T39*(1+Inputs!$C$36)+Inputs!$F$52+IF(S39&lt;=0,Inputs!$C$28+Inputs!$E$52,0)</f>
        <v>204193.24559685285</v>
      </c>
      <c r="U40" s="12">
        <f t="shared" si="3"/>
        <v>1736871.9490123705</v>
      </c>
    </row>
    <row r="41" spans="1:21" x14ac:dyDescent="0.25">
      <c r="A41" s="6">
        <v>18</v>
      </c>
      <c r="B41" s="6" t="s">
        <v>221</v>
      </c>
      <c r="C41" s="14">
        <f>C40*(1+Inputs!$C$35-Inputs!$C$42)+((Engine!E24+Engine!F24)*Rules!$C$15+Inputs!$D$49*(1+Inputs!$C$39)^(A41-1))*(1-Rules!$C$18)</f>
        <v>1163465.6174702947</v>
      </c>
      <c r="D41" s="14">
        <f>IF(D40&lt;=0,0,MAX(0,D40*(1+Inputs!$C$26)-Inputs!$C$28-Inputs!$E$49))</f>
        <v>312546.40168253763</v>
      </c>
      <c r="E41" s="14">
        <f>E40*(1+Inputs!$C$36)+Inputs!$F$49+IF(D40&lt;=0,Inputs!$C$28+Inputs!$E$49,0)</f>
        <v>966786.56429299782</v>
      </c>
      <c r="F41" s="14">
        <f t="shared" si="0"/>
        <v>1817705.7800807548</v>
      </c>
      <c r="H41" s="14">
        <f>H40*(1+Inputs!$C$35-Inputs!$C$42)+((Engine!E24+Engine!F24)*Rules!$C$15+Inputs!$D$50*(1+Inputs!$C$39)^(A41-1))*(1-Rules!$C$18)</f>
        <v>2239788.691520208</v>
      </c>
      <c r="I41" s="14">
        <f>IF(I40&lt;=0,0,MAX(0,I40*(1+Inputs!$C$26)-Inputs!$C$28-Inputs!$E$50))</f>
        <v>312546.40168253763</v>
      </c>
      <c r="J41" s="14">
        <f>J40*(1+Inputs!$C$36)+Inputs!$F$50+IF(I40&lt;=0,Inputs!$C$28+Inputs!$E$50,0)</f>
        <v>217465.80656064829</v>
      </c>
      <c r="K41" s="14">
        <f t="shared" si="1"/>
        <v>2144708.0963983187</v>
      </c>
      <c r="M41" s="14">
        <f>M40*(1+Inputs!$C$35-Inputs!$C$42)+((Engine!E24+Engine!F24)*Rules!$C$15+Inputs!$D$51*(1+Inputs!$C$39)^(A41-1))*(1-Rules!$C$18)</f>
        <v>1163465.6174702947</v>
      </c>
      <c r="N41" s="14">
        <f>IF(N40&lt;=0,0,MAX(0,N40*(1+Inputs!$C$26)-Inputs!$C$28-Inputs!$E$51))</f>
        <v>0</v>
      </c>
      <c r="O41" s="14">
        <f>O40*(1+Inputs!$C$36)+Inputs!$F$51+IF(N40&lt;=0,Inputs!$C$28+Inputs!$E$51,0)</f>
        <v>565232.28499266424</v>
      </c>
      <c r="P41" s="14">
        <f t="shared" si="2"/>
        <v>1728697.9024629588</v>
      </c>
      <c r="R41" s="14">
        <f>R40*(1+Inputs!$C$35-Inputs!$C$42)+((Engine!E24+Engine!F24)*Rules!$C$15+Inputs!$D$52*(1+Inputs!$C$39)^(A41-1))*(1-Rules!$C$18)</f>
        <v>1701627.1544952509</v>
      </c>
      <c r="S41" s="14">
        <f>IF(S40&lt;=0,0,MAX(0,S40*(1+Inputs!$C$26)-Inputs!$C$28-Inputs!$E$52))</f>
        <v>0</v>
      </c>
      <c r="T41" s="14">
        <f>T40*(1+Inputs!$C$36)+Inputs!$F$52+IF(S40&lt;=0,Inputs!$C$28+Inputs!$E$52,0)</f>
        <v>217465.80656064829</v>
      </c>
      <c r="U41" s="14">
        <f t="shared" si="3"/>
        <v>1919092.9610558993</v>
      </c>
    </row>
    <row r="42" spans="1:21" x14ac:dyDescent="0.25">
      <c r="A42" s="6">
        <v>19</v>
      </c>
      <c r="B42" s="6" t="s">
        <v>222</v>
      </c>
      <c r="C42" s="12">
        <f>C41*(1+Inputs!$C$35-Inputs!$C$42)+((Engine!E25+Engine!F25)*Rules!$C$15+Inputs!$D$49*(1+Inputs!$C$39)^(A42-1))*(1-Rules!$C$18)</f>
        <v>1262715.522100935</v>
      </c>
      <c r="D42" s="12">
        <f>IF(D41&lt;=0,0,MAX(0,D41*(1+Inputs!$C$26)-Inputs!$C$28-Inputs!$E$49))</f>
        <v>275197.47239321406</v>
      </c>
      <c r="E42" s="12">
        <f>E41*(1+Inputs!$C$36)+Inputs!$F$49+IF(D41&lt;=0,Inputs!$C$28+Inputs!$E$49,0)</f>
        <v>1052747.6909720425</v>
      </c>
      <c r="F42" s="12">
        <f t="shared" si="0"/>
        <v>2040265.7406797635</v>
      </c>
      <c r="H42" s="12">
        <f>H41*(1+Inputs!$C$35-Inputs!$C$42)+((Engine!E25+Engine!F25)*Rules!$C$15+Inputs!$D$50*(1+Inputs!$C$39)^(A42-1))*(1-Rules!$C$18)</f>
        <v>2449051.1653045015</v>
      </c>
      <c r="I42" s="12">
        <f>IF(I41&lt;=0,0,MAX(0,I41*(1+Inputs!$C$26)-Inputs!$C$28-Inputs!$E$50))</f>
        <v>275197.47239321406</v>
      </c>
      <c r="J42" s="12">
        <f>J41*(1+Inputs!$C$36)+Inputs!$F$50+IF(I41&lt;=0,Inputs!$C$28+Inputs!$E$50,0)</f>
        <v>231601.08398709042</v>
      </c>
      <c r="K42" s="12">
        <f t="shared" si="1"/>
        <v>2405454.7768983776</v>
      </c>
      <c r="M42" s="12">
        <f>M41*(1+Inputs!$C$35-Inputs!$C$42)+((Engine!E25+Engine!F25)*Rules!$C$15+Inputs!$D$51*(1+Inputs!$C$39)^(A42-1))*(1-Rules!$C$18)</f>
        <v>1262715.522100935</v>
      </c>
      <c r="N42" s="12">
        <f>IF(N41&lt;=0,0,MAX(0,N41*(1+Inputs!$C$26)-Inputs!$C$28-Inputs!$E$51))</f>
        <v>0</v>
      </c>
      <c r="O42" s="12">
        <f>O41*(1+Inputs!$C$36)+Inputs!$F$51+IF(N41&lt;=0,Inputs!$C$28+Inputs!$E$51,0)</f>
        <v>680881.55050578073</v>
      </c>
      <c r="P42" s="12">
        <f t="shared" si="2"/>
        <v>1943597.0726067158</v>
      </c>
      <c r="R42" s="12">
        <f>R41*(1+Inputs!$C$35-Inputs!$C$42)+((Engine!E25+Engine!F25)*Rules!$C$15+Inputs!$D$52*(1+Inputs!$C$39)^(A42-1))*(1-Rules!$C$18)</f>
        <v>1855883.3437027179</v>
      </c>
      <c r="S42" s="12">
        <f>IF(S41&lt;=0,0,MAX(0,S41*(1+Inputs!$C$26)-Inputs!$C$28-Inputs!$E$52))</f>
        <v>0</v>
      </c>
      <c r="T42" s="12">
        <f>T41*(1+Inputs!$C$36)+Inputs!$F$52+IF(S41&lt;=0,Inputs!$C$28+Inputs!$E$52,0)</f>
        <v>298950.25097568368</v>
      </c>
      <c r="U42" s="12">
        <f t="shared" si="3"/>
        <v>2154833.5946784015</v>
      </c>
    </row>
    <row r="43" spans="1:21" x14ac:dyDescent="0.25">
      <c r="A43" s="6">
        <v>20</v>
      </c>
      <c r="B43" s="6" t="s">
        <v>223</v>
      </c>
      <c r="C43" s="14">
        <f>C42*(1+Inputs!$C$35-Inputs!$C$42)+((Engine!E26+Engine!F26)*Rules!$C$15+Inputs!$D$49*(1+Inputs!$C$39)^(A43-1))*(1-Rules!$C$18)</f>
        <v>1368578.4692605135</v>
      </c>
      <c r="D43" s="14">
        <f>IF(D42&lt;=0,0,MAX(0,D42*(1+Inputs!$C$26)-Inputs!$C$28-Inputs!$E$49))</f>
        <v>235644.95627582038</v>
      </c>
      <c r="E43" s="14">
        <f>E42*(1+Inputs!$C$36)+Inputs!$F$49+IF(D42&lt;=0,Inputs!$C$28+Inputs!$E$49,0)</f>
        <v>1144296.2908852252</v>
      </c>
      <c r="F43" s="14">
        <f t="shared" si="0"/>
        <v>2277229.8038699185</v>
      </c>
      <c r="H43" s="14">
        <f>H42*(1+Inputs!$C$35-Inputs!$C$42)+((Engine!E26+Engine!F26)*Rules!$C$15+Inputs!$D$50*(1+Inputs!$C$39)^(A43-1))*(1-Rules!$C$18)</f>
        <v>2672618.40123901</v>
      </c>
      <c r="I43" s="14">
        <f>IF(I42&lt;=0,0,MAX(0,I42*(1+Inputs!$C$26)-Inputs!$C$28-Inputs!$E$50))</f>
        <v>235644.95627582038</v>
      </c>
      <c r="J43" s="14">
        <f>J42*(1+Inputs!$C$36)+Inputs!$F$50+IF(I42&lt;=0,Inputs!$C$28+Inputs!$E$50,0)</f>
        <v>246655.15444625128</v>
      </c>
      <c r="K43" s="14">
        <f t="shared" si="1"/>
        <v>2683628.599409441</v>
      </c>
      <c r="M43" s="14">
        <f>M42*(1+Inputs!$C$35-Inputs!$C$42)+((Engine!E26+Engine!F26)*Rules!$C$15+Inputs!$D$51*(1+Inputs!$C$39)^(A43-1))*(1-Rules!$C$18)</f>
        <v>1368578.4692605135</v>
      </c>
      <c r="N43" s="14">
        <f>IF(N42&lt;=0,0,MAX(0,N42*(1+Inputs!$C$26)-Inputs!$C$28-Inputs!$E$51))</f>
        <v>0</v>
      </c>
      <c r="O43" s="14">
        <f>O42*(1+Inputs!$C$36)+Inputs!$F$51+IF(N42&lt;=0,Inputs!$C$28+Inputs!$E$51,0)</f>
        <v>804048.01827724976</v>
      </c>
      <c r="P43" s="14">
        <f t="shared" si="2"/>
        <v>2172626.4875377631</v>
      </c>
      <c r="R43" s="14">
        <f>R42*(1+Inputs!$C$35-Inputs!$C$42)+((Engine!E26+Engine!F26)*Rules!$C$15+Inputs!$D$52*(1+Inputs!$C$39)^(A43-1))*(1-Rules!$C$18)</f>
        <v>2020598.4352497614</v>
      </c>
      <c r="S43" s="14">
        <f>IF(S42&lt;=0,0,MAX(0,S42*(1+Inputs!$C$26)-Inputs!$C$28-Inputs!$E$52))</f>
        <v>0</v>
      </c>
      <c r="T43" s="14">
        <f>T42*(1+Inputs!$C$36)+Inputs!$F$52+IF(S42&lt;=0,Inputs!$C$28+Inputs!$E$52,0)</f>
        <v>385731.18427769642</v>
      </c>
      <c r="U43" s="14">
        <f t="shared" si="3"/>
        <v>2406329.6195274577</v>
      </c>
    </row>
    <row r="44" spans="1:21" x14ac:dyDescent="0.25">
      <c r="A44" s="6">
        <v>21</v>
      </c>
      <c r="B44" s="6" t="s">
        <v>224</v>
      </c>
      <c r="C44" s="12">
        <f>C43*(1+Inputs!$C$35-Inputs!$C$42)+((Engine!E27+Engine!F27)*Rules!$C$15+Inputs!$D$49*(1+Inputs!$C$39)^(A44-1))*(1-Rules!$C$18)</f>
        <v>1481458.2585394345</v>
      </c>
      <c r="D44" s="12">
        <f>IF(D43&lt;=0,0,MAX(0,D43*(1+Inputs!$C$26)-Inputs!$C$28-Inputs!$E$49))</f>
        <v>193758.84170750048</v>
      </c>
      <c r="E44" s="12">
        <f>E43*(1+Inputs!$C$36)+Inputs!$F$49+IF(D43&lt;=0,Inputs!$C$28+Inputs!$E$49,0)</f>
        <v>1241795.5497927647</v>
      </c>
      <c r="F44" s="12">
        <f t="shared" si="0"/>
        <v>2529494.9666246986</v>
      </c>
      <c r="H44" s="12">
        <f>H43*(1+Inputs!$C$35-Inputs!$C$42)+((Engine!E27+Engine!F27)*Rules!$C$15+Inputs!$D$50*(1+Inputs!$C$39)^(A44-1))*(1-Rules!$C$18)</f>
        <v>2911373.0613566623</v>
      </c>
      <c r="I44" s="12">
        <f>IF(I43&lt;=0,0,MAX(0,I43*(1+Inputs!$C$26)-Inputs!$C$28-Inputs!$E$50))</f>
        <v>193758.84170750048</v>
      </c>
      <c r="J44" s="12">
        <f>J43*(1+Inputs!$C$36)+Inputs!$F$50+IF(I43&lt;=0,Inputs!$C$28+Inputs!$E$50,0)</f>
        <v>262687.7394852576</v>
      </c>
      <c r="K44" s="12">
        <f t="shared" si="1"/>
        <v>2980301.9591344194</v>
      </c>
      <c r="M44" s="12">
        <f>M43*(1+Inputs!$C$35-Inputs!$C$42)+((Engine!E27+Engine!F27)*Rules!$C$15+Inputs!$D$51*(1+Inputs!$C$39)^(A44-1))*(1-Rules!$C$18)</f>
        <v>1481458.2585394345</v>
      </c>
      <c r="N44" s="12">
        <f>IF(N43&lt;=0,0,MAX(0,N43*(1+Inputs!$C$26)-Inputs!$C$28-Inputs!$E$51))</f>
        <v>0</v>
      </c>
      <c r="O44" s="12">
        <f>O43*(1+Inputs!$C$36)+Inputs!$F$51+IF(N43&lt;=0,Inputs!$C$28+Inputs!$E$51,0)</f>
        <v>935220.30645386421</v>
      </c>
      <c r="P44" s="12">
        <f t="shared" si="2"/>
        <v>2416678.5649932986</v>
      </c>
      <c r="R44" s="12">
        <f>R43*(1+Inputs!$C$35-Inputs!$C$42)+((Engine!E27+Engine!F27)*Rules!$C$15+Inputs!$D$52*(1+Inputs!$C$39)^(A44-1))*(1-Rules!$C$18)</f>
        <v>2196415.6599480482</v>
      </c>
      <c r="S44" s="12">
        <f>IF(S43&lt;=0,0,MAX(0,S43*(1+Inputs!$C$26)-Inputs!$C$28-Inputs!$E$52))</f>
        <v>0</v>
      </c>
      <c r="T44" s="12">
        <f>T43*(1+Inputs!$C$36)+Inputs!$F$52+IF(S43&lt;=0,Inputs!$C$28+Inputs!$E$52,0)</f>
        <v>478152.87824433995</v>
      </c>
      <c r="U44" s="12">
        <f t="shared" si="3"/>
        <v>2674568.5381923881</v>
      </c>
    </row>
    <row r="45" spans="1:21" x14ac:dyDescent="0.25">
      <c r="A45" s="6">
        <v>22</v>
      </c>
      <c r="B45" s="6" t="s">
        <v>225</v>
      </c>
      <c r="C45" s="14">
        <f>C44*(1+Inputs!$C$35-Inputs!$C$42)+((Engine!E28+Engine!F28)*Rules!$C$15+Inputs!$D$49*(1+Inputs!$C$39)^(A45-1))*(1-Rules!$C$18)</f>
        <v>1601782.4090855857</v>
      </c>
      <c r="D45" s="14">
        <f>IF(D44&lt;=0,0,MAX(0,D44*(1+Inputs!$C$26)-Inputs!$C$28-Inputs!$E$49))</f>
        <v>149401.44637964971</v>
      </c>
      <c r="E45" s="14">
        <f>E44*(1+Inputs!$C$36)+Inputs!$F$49+IF(D44&lt;=0,Inputs!$C$28+Inputs!$E$49,0)</f>
        <v>1345632.2605292944</v>
      </c>
      <c r="F45" s="14">
        <f t="shared" si="0"/>
        <v>2798013.2232352304</v>
      </c>
      <c r="H45" s="14">
        <f>H44*(1+Inputs!$C$35-Inputs!$C$42)+((Engine!E28+Engine!F28)*Rules!$C$15+Inputs!$D$50*(1+Inputs!$C$39)^(A45-1))*(1-Rules!$C$18)</f>
        <v>3166249.9113843911</v>
      </c>
      <c r="I45" s="14">
        <f>IF(I44&lt;=0,0,MAX(0,I44*(1+Inputs!$C$26)-Inputs!$C$28-Inputs!$E$50))</f>
        <v>149401.44637964971</v>
      </c>
      <c r="J45" s="14">
        <f>J44*(1+Inputs!$C$36)+Inputs!$F$50+IF(I44&lt;=0,Inputs!$C$28+Inputs!$E$50,0)</f>
        <v>279762.44255179935</v>
      </c>
      <c r="K45" s="14">
        <f t="shared" si="1"/>
        <v>3296610.9075565408</v>
      </c>
      <c r="M45" s="14">
        <f>M44*(1+Inputs!$C$35-Inputs!$C$42)+((Engine!E28+Engine!F28)*Rules!$C$15+Inputs!$D$51*(1+Inputs!$C$39)^(A45-1))*(1-Rules!$C$18)</f>
        <v>1601782.4090855857</v>
      </c>
      <c r="N45" s="14">
        <f>IF(N44&lt;=0,0,MAX(0,N44*(1+Inputs!$C$26)-Inputs!$C$28-Inputs!$E$51))</f>
        <v>0</v>
      </c>
      <c r="O45" s="14">
        <f>O44*(1+Inputs!$C$36)+Inputs!$F$51+IF(N44&lt;=0,Inputs!$C$28+Inputs!$E$51,0)</f>
        <v>1074918.7933619586</v>
      </c>
      <c r="P45" s="14">
        <f t="shared" si="2"/>
        <v>2676701.2024475443</v>
      </c>
      <c r="R45" s="14">
        <f>R44*(1+Inputs!$C$35-Inputs!$C$42)+((Engine!E28+Engine!F28)*Rules!$C$15+Inputs!$D$52*(1+Inputs!$C$39)^(A45-1))*(1-Rules!$C$18)</f>
        <v>2384016.1602349882</v>
      </c>
      <c r="S45" s="14">
        <f>IF(S44&lt;=0,0,MAX(0,S44*(1+Inputs!$C$26)-Inputs!$C$28-Inputs!$E$52))</f>
        <v>0</v>
      </c>
      <c r="T45" s="14">
        <f>T44*(1+Inputs!$C$36)+Inputs!$F$52+IF(S44&lt;=0,Inputs!$C$28+Inputs!$E$52,0)</f>
        <v>576581.98231881531</v>
      </c>
      <c r="U45" s="14">
        <f t="shared" si="3"/>
        <v>2960598.1425538035</v>
      </c>
    </row>
    <row r="46" spans="1:21" x14ac:dyDescent="0.25">
      <c r="A46" s="6">
        <v>23</v>
      </c>
      <c r="B46" s="6" t="s">
        <v>226</v>
      </c>
      <c r="C46" s="12">
        <f>C45*(1+Inputs!$C$35-Inputs!$C$42)+((Engine!E29+Engine!F29)*Rules!$C$15+Inputs!$D$49*(1+Inputs!$C$39)^(A46-1))*(1-Rules!$C$18)</f>
        <v>1730003.5269057548</v>
      </c>
      <c r="D46" s="12">
        <f>IF(D45&lt;=0,0,MAX(0,D45*(1+Inputs!$C$26)-Inputs!$C$28-Inputs!$E$49))</f>
        <v>102426.96472745575</v>
      </c>
      <c r="E46" s="12">
        <f>E45*(1+Inputs!$C$36)+Inputs!$F$49+IF(D45&lt;=0,Inputs!$C$28+Inputs!$E$49,0)</f>
        <v>1456218.3574636984</v>
      </c>
      <c r="F46" s="12">
        <f t="shared" si="0"/>
        <v>3083794.9196419977</v>
      </c>
      <c r="H46" s="12">
        <f>H45*(1+Inputs!$C$35-Inputs!$C$42)+((Engine!E29+Engine!F29)*Rules!$C$15+Inputs!$D$50*(1+Inputs!$C$39)^(A46-1))*(1-Rules!$C$18)</f>
        <v>3438238.8316005194</v>
      </c>
      <c r="I46" s="12">
        <f>IF(I45&lt;=0,0,MAX(0,I45*(1+Inputs!$C$26)-Inputs!$C$28-Inputs!$E$50))</f>
        <v>102426.96472745575</v>
      </c>
      <c r="J46" s="12">
        <f>J45*(1+Inputs!$C$36)+Inputs!$F$50+IF(I45&lt;=0,Inputs!$C$28+Inputs!$E$50,0)</f>
        <v>297947.00131766632</v>
      </c>
      <c r="K46" s="12">
        <f t="shared" si="1"/>
        <v>3633758.86819073</v>
      </c>
      <c r="M46" s="12">
        <f>M45*(1+Inputs!$C$35-Inputs!$C$42)+((Engine!E29+Engine!F29)*Rules!$C$15+Inputs!$D$51*(1+Inputs!$C$39)^(A46-1))*(1-Rules!$C$18)</f>
        <v>1730003.5269057548</v>
      </c>
      <c r="N46" s="12">
        <f>IF(N45&lt;=0,0,MAX(0,N45*(1+Inputs!$C$26)-Inputs!$C$28-Inputs!$E$51))</f>
        <v>0</v>
      </c>
      <c r="O46" s="12">
        <f>O45*(1+Inputs!$C$36)+Inputs!$F$51+IF(N45&lt;=0,Inputs!$C$28+Inputs!$E$51,0)</f>
        <v>1223697.681919079</v>
      </c>
      <c r="P46" s="12">
        <f t="shared" si="2"/>
        <v>2953701.2088248339</v>
      </c>
      <c r="R46" s="12">
        <f>R45*(1+Inputs!$C$35-Inputs!$C$42)+((Engine!E29+Engine!F29)*Rules!$C$15+Inputs!$D$52*(1+Inputs!$C$39)^(A46-1))*(1-Rules!$C$18)</f>
        <v>2584121.1792531367</v>
      </c>
      <c r="S46" s="12">
        <f>IF(S45&lt;=0,0,MAX(0,S45*(1+Inputs!$C$26)-Inputs!$C$28-Inputs!$E$52))</f>
        <v>0</v>
      </c>
      <c r="T46" s="12">
        <f>T45*(1+Inputs!$C$36)+Inputs!$F$52+IF(S45&lt;=0,Inputs!$C$28+Inputs!$E$52,0)</f>
        <v>681408.97815813159</v>
      </c>
      <c r="U46" s="12">
        <f t="shared" si="3"/>
        <v>3265530.1574112684</v>
      </c>
    </row>
    <row r="47" spans="1:21" x14ac:dyDescent="0.25">
      <c r="A47" s="6">
        <v>24</v>
      </c>
      <c r="B47" s="6" t="s">
        <v>227</v>
      </c>
      <c r="C47" s="14">
        <f>C46*(1+Inputs!$C$35-Inputs!$C$42)+((Engine!E30+Engine!F30)*Rules!$C$15+Inputs!$D$49*(1+Inputs!$C$39)^(A47-1))*(1-Rules!$C$18)</f>
        <v>1866600.7502339683</v>
      </c>
      <c r="D47" s="14">
        <f>IF(D46&lt;=0,0,MAX(0,D46*(1+Inputs!$C$26)-Inputs!$C$28-Inputs!$E$49))</f>
        <v>52680.988657782342</v>
      </c>
      <c r="E47" s="14">
        <f>E46*(1+Inputs!$C$36)+Inputs!$F$49+IF(D46&lt;=0,Inputs!$C$28+Inputs!$E$49,0)</f>
        <v>1573992.5506988387</v>
      </c>
      <c r="F47" s="14">
        <f t="shared" si="0"/>
        <v>3387912.3122750246</v>
      </c>
      <c r="H47" s="14">
        <f>H46*(1+Inputs!$C$35-Inputs!$C$42)+((Engine!E30+Engine!F30)*Rules!$C$15+Inputs!$D$50*(1+Inputs!$C$39)^(A47-1))*(1-Rules!$C$18)</f>
        <v>3728387.999815546</v>
      </c>
      <c r="I47" s="14">
        <f>IF(I46&lt;=0,0,MAX(0,I46*(1+Inputs!$C$26)-Inputs!$C$28-Inputs!$E$50))</f>
        <v>52680.988657782342</v>
      </c>
      <c r="J47" s="14">
        <f>J46*(1+Inputs!$C$36)+Inputs!$F$50+IF(I46&lt;=0,Inputs!$C$28+Inputs!$E$50,0)</f>
        <v>317313.55640331464</v>
      </c>
      <c r="K47" s="14">
        <f t="shared" si="1"/>
        <v>3993020.5675610784</v>
      </c>
      <c r="M47" s="14">
        <f>M46*(1+Inputs!$C$35-Inputs!$C$42)+((Engine!E30+Engine!F30)*Rules!$C$15+Inputs!$D$51*(1+Inputs!$C$39)^(A47-1))*(1-Rules!$C$18)</f>
        <v>1866600.7502339683</v>
      </c>
      <c r="N47" s="14">
        <f>IF(N46&lt;=0,0,MAX(0,N46*(1+Inputs!$C$26)-Inputs!$C$28-Inputs!$E$51))</f>
        <v>0</v>
      </c>
      <c r="O47" s="14">
        <f>O46*(1+Inputs!$C$36)+Inputs!$F$51+IF(N46&lt;=0,Inputs!$C$28+Inputs!$E$51,0)</f>
        <v>1382147.1982324123</v>
      </c>
      <c r="P47" s="14">
        <f t="shared" si="2"/>
        <v>3248747.9484663806</v>
      </c>
      <c r="R47" s="14">
        <f>R46*(1+Inputs!$C$35-Inputs!$C$42)+((Engine!E30+Engine!F30)*Rules!$C$15+Inputs!$D$52*(1+Inputs!$C$39)^(A47-1))*(1-Rules!$C$18)</f>
        <v>2797494.3750247564</v>
      </c>
      <c r="S47" s="14">
        <f>IF(S46&lt;=0,0,MAX(0,S46*(1+Inputs!$C$26)-Inputs!$C$28-Inputs!$E$52))</f>
        <v>0</v>
      </c>
      <c r="T47" s="14">
        <f>T46*(1+Inputs!$C$36)+Inputs!$F$52+IF(S46&lt;=0,Inputs!$C$28+Inputs!$E$52,0)</f>
        <v>793049.72872700344</v>
      </c>
      <c r="U47" s="14">
        <f t="shared" si="3"/>
        <v>3590544.10375176</v>
      </c>
    </row>
    <row r="48" spans="1:21" x14ac:dyDescent="0.25">
      <c r="A48" s="6">
        <v>25</v>
      </c>
      <c r="B48" s="6" t="s">
        <v>228</v>
      </c>
      <c r="C48" s="12">
        <f>C47*(1+Inputs!$C$35-Inputs!$C$42)+((Engine!E31+Engine!F31)*Rules!$C$15+Inputs!$D$49*(1+Inputs!$C$39)^(A48-1))*(1-Rules!$C$18)</f>
        <v>2012081.277401967</v>
      </c>
      <c r="D48" s="12">
        <f>IF(D47&lt;=0,0,MAX(0,D47*(1+Inputs!$C$26)-Inputs!$C$28-Inputs!$E$49))</f>
        <v>0</v>
      </c>
      <c r="E48" s="12">
        <f>E47*(1+Inputs!$C$36)+Inputs!$F$49+IF(D47&lt;=0,Inputs!$C$28+Inputs!$E$49,0)</f>
        <v>1699422.066494263</v>
      </c>
      <c r="F48" s="12">
        <f t="shared" si="0"/>
        <v>3711503.3438962298</v>
      </c>
      <c r="H48" s="12">
        <f>H47*(1+Inputs!$C$35-Inputs!$C$42)+((Engine!E31+Engine!F31)*Rules!$C$15+Inputs!$D$50*(1+Inputs!$C$39)^(A48-1))*(1-Rules!$C$18)</f>
        <v>4037807.2562616095</v>
      </c>
      <c r="I48" s="12">
        <f>IF(I47&lt;=0,0,MAX(0,I47*(1+Inputs!$C$26)-Inputs!$C$28-Inputs!$E$50))</f>
        <v>0</v>
      </c>
      <c r="J48" s="12">
        <f>J47*(1+Inputs!$C$36)+Inputs!$F$50+IF(I47&lt;=0,Inputs!$C$28+Inputs!$E$50,0)</f>
        <v>337938.9375695301</v>
      </c>
      <c r="K48" s="12">
        <f t="shared" si="1"/>
        <v>4375746.1938311392</v>
      </c>
      <c r="M48" s="12">
        <f>M47*(1+Inputs!$C$35-Inputs!$C$42)+((Engine!E31+Engine!F31)*Rules!$C$15+Inputs!$D$51*(1+Inputs!$C$39)^(A48-1))*(1-Rules!$C$18)</f>
        <v>2012081.277401967</v>
      </c>
      <c r="N48" s="12">
        <f>IF(N47&lt;=0,0,MAX(0,N47*(1+Inputs!$C$26)-Inputs!$C$28-Inputs!$E$51))</f>
        <v>0</v>
      </c>
      <c r="O48" s="12">
        <f>O47*(1+Inputs!$C$36)+Inputs!$F$51+IF(N47&lt;=0,Inputs!$C$28+Inputs!$E$51,0)</f>
        <v>1550895.9331061123</v>
      </c>
      <c r="P48" s="12">
        <f t="shared" si="2"/>
        <v>3562977.2105080793</v>
      </c>
      <c r="R48" s="12">
        <f>R47*(1+Inputs!$C$35-Inputs!$C$42)+((Engine!E31+Engine!F31)*Rules!$C$15+Inputs!$D$52*(1+Inputs!$C$39)^(A48-1))*(1-Rules!$C$18)</f>
        <v>3024944.2668317873</v>
      </c>
      <c r="S48" s="12">
        <f>IF(S47&lt;=0,0,MAX(0,S47*(1+Inputs!$C$26)-Inputs!$C$28-Inputs!$E$52))</f>
        <v>0</v>
      </c>
      <c r="T48" s="12">
        <f>T47*(1+Inputs!$C$36)+Inputs!$F$52+IF(S47&lt;=0,Inputs!$C$28+Inputs!$E$52,0)</f>
        <v>911947.12808285188</v>
      </c>
      <c r="U48" s="12">
        <f t="shared" si="3"/>
        <v>3936891.3949146392</v>
      </c>
    </row>
    <row r="49" spans="1:21" x14ac:dyDescent="0.25">
      <c r="A49" s="6">
        <v>26</v>
      </c>
      <c r="B49" s="6" t="s">
        <v>229</v>
      </c>
      <c r="C49" s="14">
        <f>C48*(1+Inputs!$C$35-Inputs!$C$42)+((Engine!E32+Engine!F32)*Rules!$C$15+Inputs!$D$49*(1+Inputs!$C$39)^(A49-1))*(1-Rules!$C$18)</f>
        <v>2166981.9818983511</v>
      </c>
      <c r="D49" s="14">
        <f>IF(D48&lt;=0,0,MAX(0,D48*(1+Inputs!$C$26)-Inputs!$C$28-Inputs!$E$49))</f>
        <v>0</v>
      </c>
      <c r="E49" s="14">
        <f>E48*(1+Inputs!$C$36)+Inputs!$F$49+IF(D48&lt;=0,Inputs!$C$28+Inputs!$E$49,0)</f>
        <v>1888793.6678049832</v>
      </c>
      <c r="F49" s="14">
        <f t="shared" si="0"/>
        <v>4055775.6497033341</v>
      </c>
      <c r="H49" s="14">
        <f>H48*(1+Inputs!$C$35-Inputs!$C$42)+((Engine!E32+Engine!F32)*Rules!$C$15+Inputs!$D$50*(1+Inputs!$C$39)^(A49-1))*(1-Rules!$C$18)</f>
        <v>4367671.6607305706</v>
      </c>
      <c r="I49" s="14">
        <f>IF(I48&lt;=0,0,MAX(0,I48*(1+Inputs!$C$26)-Inputs!$C$28-Inputs!$E$50))</f>
        <v>0</v>
      </c>
      <c r="J49" s="14">
        <f>J48*(1+Inputs!$C$36)+Inputs!$F$50+IF(I48&lt;=0,Inputs!$C$28+Inputs!$E$50,0)</f>
        <v>415694.13550014282</v>
      </c>
      <c r="K49" s="14">
        <f t="shared" si="1"/>
        <v>4783365.7962307129</v>
      </c>
      <c r="M49" s="14">
        <f>M48*(1+Inputs!$C$35-Inputs!$C$42)+((Engine!E32+Engine!F32)*Rules!$C$15+Inputs!$D$51*(1+Inputs!$C$39)^(A49-1))*(1-Rules!$C$18)</f>
        <v>2166981.9818983511</v>
      </c>
      <c r="N49" s="14">
        <f>IF(N48&lt;=0,0,MAX(0,N48*(1+Inputs!$C$26)-Inputs!$C$28-Inputs!$E$51))</f>
        <v>0</v>
      </c>
      <c r="O49" s="14">
        <f>O48*(1+Inputs!$C$36)+Inputs!$F$51+IF(N48&lt;=0,Inputs!$C$28+Inputs!$E$51,0)</f>
        <v>1730613.3357466029</v>
      </c>
      <c r="P49" s="14">
        <f t="shared" si="2"/>
        <v>3897595.3176449537</v>
      </c>
      <c r="R49" s="14">
        <f>R48*(1+Inputs!$C$35-Inputs!$C$42)+((Engine!E32+Engine!F32)*Rules!$C$15+Inputs!$D$52*(1+Inputs!$C$39)^(A49-1))*(1-Rules!$C$18)</f>
        <v>3267326.8213144597</v>
      </c>
      <c r="S49" s="14">
        <f>IF(S48&lt;=0,0,MAX(0,S48*(1+Inputs!$C$26)-Inputs!$C$28-Inputs!$E$52))</f>
        <v>0</v>
      </c>
      <c r="T49" s="14">
        <f>T48*(1+Inputs!$C$36)+Inputs!$F$52+IF(S48&lt;=0,Inputs!$C$28+Inputs!$E$52,0)</f>
        <v>1038572.8583968305</v>
      </c>
      <c r="U49" s="14">
        <f t="shared" si="3"/>
        <v>4305899.6797112897</v>
      </c>
    </row>
    <row r="50" spans="1:21" x14ac:dyDescent="0.25">
      <c r="A50" s="6">
        <v>27</v>
      </c>
      <c r="B50" s="6" t="s">
        <v>230</v>
      </c>
      <c r="C50" s="12">
        <f>C49*(1+Inputs!$C$35-Inputs!$C$42)+((Engine!E33+Engine!F33)*Rules!$C$15+Inputs!$D$49*(1+Inputs!$C$39)^(A50-1))*(1-Rules!$C$18)</f>
        <v>2331871.119568476</v>
      </c>
      <c r="D50" s="12">
        <f>IF(D49&lt;=0,0,MAX(0,D49*(1+Inputs!$C$26)-Inputs!$C$28-Inputs!$E$49))</f>
        <v>0</v>
      </c>
      <c r="E50" s="12">
        <f>E49*(1+Inputs!$C$36)+Inputs!$F$49+IF(D49&lt;=0,Inputs!$C$28+Inputs!$E$49,0)</f>
        <v>2090474.4232009002</v>
      </c>
      <c r="F50" s="12">
        <f t="shared" si="0"/>
        <v>4422345.5427693762</v>
      </c>
      <c r="H50" s="12">
        <f>H49*(1+Inputs!$C$35-Inputs!$C$42)+((Engine!E33+Engine!F33)*Rules!$C$15+Inputs!$D$50*(1+Inputs!$C$39)^(A50-1))*(1-Rules!$C$18)</f>
        <v>4719225.2528867321</v>
      </c>
      <c r="I50" s="12">
        <f>IF(I49&lt;=0,0,MAX(0,I49*(1+Inputs!$C$26)-Inputs!$C$28-Inputs!$E$50))</f>
        <v>0</v>
      </c>
      <c r="J50" s="12">
        <f>J49*(1+Inputs!$C$36)+Inputs!$F$50+IF(I49&lt;=0,Inputs!$C$28+Inputs!$E$50,0)</f>
        <v>498503.42129624536</v>
      </c>
      <c r="K50" s="12">
        <f t="shared" si="1"/>
        <v>5217728.6741829775</v>
      </c>
      <c r="M50" s="12">
        <f>M49*(1+Inputs!$C$35-Inputs!$C$42)+((Engine!E33+Engine!F33)*Rules!$C$15+Inputs!$D$51*(1+Inputs!$C$39)^(A50-1))*(1-Rules!$C$18)</f>
        <v>2331871.119568476</v>
      </c>
      <c r="N50" s="12">
        <f>IF(N49&lt;=0,0,MAX(0,N49*(1+Inputs!$C$26)-Inputs!$C$28-Inputs!$E$51))</f>
        <v>0</v>
      </c>
      <c r="O50" s="12">
        <f>O49*(1+Inputs!$C$36)+Inputs!$F$51+IF(N49&lt;=0,Inputs!$C$28+Inputs!$E$51,0)</f>
        <v>1922012.3695587253</v>
      </c>
      <c r="P50" s="12">
        <f t="shared" si="2"/>
        <v>4253883.489127201</v>
      </c>
      <c r="R50" s="12">
        <f>R49*(1+Inputs!$C$35-Inputs!$C$42)+((Engine!E33+Engine!F33)*Rules!$C$15+Inputs!$D$52*(1+Inputs!$C$39)^(A50-1))*(1-Rules!$C$18)</f>
        <v>3525548.1862276033</v>
      </c>
      <c r="S50" s="12">
        <f>IF(S49&lt;=0,0,MAX(0,S49*(1+Inputs!$C$26)-Inputs!$C$28-Inputs!$E$52))</f>
        <v>0</v>
      </c>
      <c r="T50" s="12">
        <f>T49*(1+Inputs!$C$36)+Inputs!$F$52+IF(S49&lt;=0,Inputs!$C$28+Inputs!$E$52,0)</f>
        <v>1173429.2611812176</v>
      </c>
      <c r="U50" s="12">
        <f t="shared" si="3"/>
        <v>4698977.4474088214</v>
      </c>
    </row>
    <row r="51" spans="1:21" x14ac:dyDescent="0.25">
      <c r="A51" s="6">
        <v>28</v>
      </c>
      <c r="B51" s="6" t="s">
        <v>231</v>
      </c>
      <c r="C51" s="14">
        <f>C50*(1+Inputs!$C$35-Inputs!$C$42)+((Engine!E34+Engine!F34)*Rules!$C$15+Inputs!$D$49*(1+Inputs!$C$39)^(A51-1))*(1-Rules!$C$18)</f>
        <v>2507350.133187749</v>
      </c>
      <c r="D51" s="14">
        <f>IF(D50&lt;=0,0,MAX(0,D50*(1+Inputs!$C$26)-Inputs!$C$28-Inputs!$E$49))</f>
        <v>0</v>
      </c>
      <c r="E51" s="14">
        <f>E50*(1+Inputs!$C$36)+Inputs!$F$49+IF(D50&lt;=0,Inputs!$C$28+Inputs!$E$49,0)</f>
        <v>2305264.4276975514</v>
      </c>
      <c r="F51" s="14">
        <f t="shared" si="0"/>
        <v>4812614.5608853009</v>
      </c>
      <c r="H51" s="14">
        <f>H50*(1+Inputs!$C$35-Inputs!$C$42)+((Engine!E34+Engine!F34)*Rules!$C$15+Inputs!$D$50*(1+Inputs!$C$39)^(A51-1))*(1-Rules!$C$18)</f>
        <v>5093785.0272994647</v>
      </c>
      <c r="I51" s="14">
        <f>IF(I50&lt;=0,0,MAX(0,I50*(1+Inputs!$C$26)-Inputs!$C$28-Inputs!$E$50))</f>
        <v>0</v>
      </c>
      <c r="J51" s="14">
        <f>J50*(1+Inputs!$C$36)+Inputs!$F$50+IF(I50&lt;=0,Inputs!$C$28+Inputs!$E$50,0)</f>
        <v>586695.31066909456</v>
      </c>
      <c r="K51" s="14">
        <f t="shared" si="1"/>
        <v>5680480.337968559</v>
      </c>
      <c r="M51" s="14">
        <f>M50*(1+Inputs!$C$35-Inputs!$C$42)+((Engine!E34+Engine!F34)*Rules!$C$15+Inputs!$D$51*(1+Inputs!$C$39)^(A51-1))*(1-Rules!$C$18)</f>
        <v>2507350.133187749</v>
      </c>
      <c r="N51" s="14">
        <f>IF(N50&lt;=0,0,MAX(0,N50*(1+Inputs!$C$26)-Inputs!$C$28-Inputs!$E$51))</f>
        <v>0</v>
      </c>
      <c r="O51" s="14">
        <f>O50*(1+Inputs!$C$36)+Inputs!$F$51+IF(N50&lt;=0,Inputs!$C$28+Inputs!$E$51,0)</f>
        <v>2125852.3405686356</v>
      </c>
      <c r="P51" s="14">
        <f t="shared" si="2"/>
        <v>4633202.4737563841</v>
      </c>
      <c r="R51" s="14">
        <f>R50*(1+Inputs!$C$35-Inputs!$C$42)+((Engine!E34+Engine!F34)*Rules!$C$15+Inputs!$D$52*(1+Inputs!$C$39)^(A51-1))*(1-Rules!$C$18)</f>
        <v>3800567.5802436057</v>
      </c>
      <c r="S51" s="14">
        <f>IF(S50&lt;=0,0,MAX(0,S50*(1+Inputs!$C$26)-Inputs!$C$28-Inputs!$E$52))</f>
        <v>0</v>
      </c>
      <c r="T51" s="14">
        <f>T50*(1+Inputs!$C$36)+Inputs!$F$52+IF(S50&lt;=0,Inputs!$C$28+Inputs!$E$52,0)</f>
        <v>1317051.33014659</v>
      </c>
      <c r="U51" s="14">
        <f t="shared" si="3"/>
        <v>5117618.9103901954</v>
      </c>
    </row>
    <row r="52" spans="1:21" x14ac:dyDescent="0.25">
      <c r="A52" s="6">
        <v>29</v>
      </c>
      <c r="B52" s="6" t="s">
        <v>232</v>
      </c>
      <c r="C52" s="12">
        <f>C51*(1+Inputs!$C$35-Inputs!$C$42)+((Engine!E35+Engine!F35)*Rules!$C$15+Inputs!$D$49*(1+Inputs!$C$39)^(A52-1))*(1-Rules!$C$18)</f>
        <v>2694055.5599374203</v>
      </c>
      <c r="D52" s="12">
        <f>IF(D51&lt;=0,0,MAX(0,D51*(1+Inputs!$C$26)-Inputs!$C$28-Inputs!$E$49))</f>
        <v>0</v>
      </c>
      <c r="E52" s="12">
        <f>E51*(1+Inputs!$C$36)+Inputs!$F$49+IF(D51&lt;=0,Inputs!$C$28+Inputs!$E$49,0)</f>
        <v>2534015.7824864853</v>
      </c>
      <c r="F52" s="12">
        <f t="shared" si="0"/>
        <v>5228071.3424239056</v>
      </c>
      <c r="H52" s="12">
        <f>H51*(1+Inputs!$C$35-Inputs!$C$42)+((Engine!E35+Engine!F35)*Rules!$C$15+Inputs!$D$50*(1+Inputs!$C$39)^(A52-1))*(1-Rules!$C$18)</f>
        <v>5492745.1353952549</v>
      </c>
      <c r="I52" s="12">
        <f>IF(I51&lt;=0,0,MAX(0,I51*(1+Inputs!$C$26)-Inputs!$C$28-Inputs!$E$50))</f>
        <v>0</v>
      </c>
      <c r="J52" s="12">
        <f>J51*(1+Inputs!$C$36)+Inputs!$F$50+IF(I51&lt;=0,Inputs!$C$28+Inputs!$E$50,0)</f>
        <v>680619.67285117891</v>
      </c>
      <c r="K52" s="12">
        <f t="shared" si="1"/>
        <v>6173364.8082464337</v>
      </c>
      <c r="M52" s="12">
        <f>M51*(1+Inputs!$C$35-Inputs!$C$42)+((Engine!E35+Engine!F35)*Rules!$C$15+Inputs!$D$51*(1+Inputs!$C$39)^(A52-1))*(1-Rules!$C$18)</f>
        <v>2694055.5599374203</v>
      </c>
      <c r="N52" s="12">
        <f>IF(N51&lt;=0,0,MAX(0,N51*(1+Inputs!$C$26)-Inputs!$C$28-Inputs!$E$51))</f>
        <v>0</v>
      </c>
      <c r="O52" s="12">
        <f>O51*(1+Inputs!$C$36)+Inputs!$F$51+IF(N51&lt;=0,Inputs!$C$28+Inputs!$E$51,0)</f>
        <v>2342941.9096941897</v>
      </c>
      <c r="P52" s="12">
        <f t="shared" si="2"/>
        <v>5036997.4696316104</v>
      </c>
      <c r="R52" s="12">
        <f>R51*(1+Inputs!$C$35-Inputs!$C$42)+((Engine!E35+Engine!F35)*Rules!$C$15+Inputs!$D$52*(1+Inputs!$C$39)^(A52-1))*(1-Rules!$C$18)</f>
        <v>4093400.3476663367</v>
      </c>
      <c r="S52" s="12">
        <f>IF(S51&lt;=0,0,MAX(0,S51*(1+Inputs!$C$26)-Inputs!$C$28-Inputs!$E$52))</f>
        <v>0</v>
      </c>
      <c r="T52" s="12">
        <f>T51*(1+Inputs!$C$36)+Inputs!$F$52+IF(S51&lt;=0,Inputs!$C$28+Inputs!$E$52,0)</f>
        <v>1470008.8335947115</v>
      </c>
      <c r="U52" s="12">
        <f t="shared" si="3"/>
        <v>5563409.1812610477</v>
      </c>
    </row>
    <row r="53" spans="1:21" x14ac:dyDescent="0.25">
      <c r="A53" s="6">
        <v>30</v>
      </c>
      <c r="B53" s="6" t="s">
        <v>233</v>
      </c>
      <c r="C53" s="14">
        <f>C52*(1+Inputs!$C$35-Inputs!$C$42)+((Engine!E36+Engine!F36)*Rules!$C$15+Inputs!$D$49*(1+Inputs!$C$39)^(A53-1))*(1-Rules!$C$18)</f>
        <v>2892661.0476251855</v>
      </c>
      <c r="D53" s="14">
        <f>IF(D52&lt;=0,0,MAX(0,D52*(1+Inputs!$C$26)-Inputs!$C$28-Inputs!$E$49))</f>
        <v>0</v>
      </c>
      <c r="E53" s="14">
        <f>E52*(1+Inputs!$C$36)+Inputs!$F$49+IF(D52&lt;=0,Inputs!$C$28+Inputs!$E$49,0)</f>
        <v>2777635.9753366997</v>
      </c>
      <c r="F53" s="14">
        <f t="shared" si="0"/>
        <v>5670297.0229618847</v>
      </c>
      <c r="H53" s="14">
        <f>H52*(1+Inputs!$C$35-Inputs!$C$42)+((Engine!E36+Engine!F36)*Rules!$C$15+Inputs!$D$50*(1+Inputs!$C$39)^(A53-1))*(1-Rules!$C$18)</f>
        <v>5917581.3272200581</v>
      </c>
      <c r="I53" s="14">
        <f>IF(I52&lt;=0,0,MAX(0,I52*(1+Inputs!$C$26)-Inputs!$C$28-Inputs!$E$50))</f>
        <v>0</v>
      </c>
      <c r="J53" s="14">
        <f>J52*(1+Inputs!$C$36)+Inputs!$F$50+IF(I52&lt;=0,Inputs!$C$28+Inputs!$E$50,0)</f>
        <v>780649.11857509881</v>
      </c>
      <c r="K53" s="14">
        <f t="shared" si="1"/>
        <v>6698230.445795157</v>
      </c>
      <c r="M53" s="14">
        <f>M52*(1+Inputs!$C$35-Inputs!$C$42)+((Engine!E36+Engine!F36)*Rules!$C$15+Inputs!$D$51*(1+Inputs!$C$39)^(A53-1))*(1-Rules!$C$18)</f>
        <v>2892661.0476251855</v>
      </c>
      <c r="N53" s="14">
        <f>IF(N52&lt;=0,0,MAX(0,N52*(1+Inputs!$C$26)-Inputs!$C$28-Inputs!$E$51))</f>
        <v>0</v>
      </c>
      <c r="O53" s="14">
        <f>O52*(1+Inputs!$C$36)+Inputs!$F$51+IF(N52&lt;=0,Inputs!$C$28+Inputs!$E$51,0)</f>
        <v>2574142.3008129047</v>
      </c>
      <c r="P53" s="14">
        <f t="shared" si="2"/>
        <v>5466803.3484380897</v>
      </c>
      <c r="R53" s="14">
        <f>R52*(1+Inputs!$C$35-Inputs!$C$42)+((Engine!E36+Engine!F36)*Rules!$C$15+Inputs!$D$52*(1+Inputs!$C$39)^(A53-1))*(1-Rules!$C$18)</f>
        <v>4405121.1874226201</v>
      </c>
      <c r="S53" s="14">
        <f>IF(S52&lt;=0,0,MAX(0,S52*(1+Inputs!$C$26)-Inputs!$C$28-Inputs!$E$52))</f>
        <v>0</v>
      </c>
      <c r="T53" s="14">
        <f>T52*(1+Inputs!$C$36)+Inputs!$F$52+IF(S52&lt;=0,Inputs!$C$28+Inputs!$E$52,0)</f>
        <v>1632908.5747669609</v>
      </c>
      <c r="U53" s="14">
        <f t="shared" si="3"/>
        <v>6038029.7621895811</v>
      </c>
    </row>
  </sheetData>
  <mergeCells count="1">
    <mergeCell ref="A6:B6"/>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K70"/>
  <sheetViews>
    <sheetView showGridLines="0" zoomScaleNormal="100" workbookViewId="0">
      <selection activeCell="I10" sqref="I10"/>
    </sheetView>
  </sheetViews>
  <sheetFormatPr defaultColWidth="8.7109375" defaultRowHeight="15" x14ac:dyDescent="0.25"/>
  <cols>
    <col min="1" max="1" width="3" customWidth="1"/>
    <col min="2" max="2" width="17.140625" customWidth="1"/>
    <col min="3" max="13" width="13" customWidth="1"/>
  </cols>
  <sheetData>
    <row r="2" spans="2:11" ht="18" x14ac:dyDescent="0.25">
      <c r="B2" s="58" t="s">
        <v>255</v>
      </c>
      <c r="C2" s="59"/>
      <c r="D2" s="59"/>
      <c r="E2" s="59"/>
      <c r="F2" s="59"/>
      <c r="G2" s="59"/>
      <c r="H2" s="59"/>
      <c r="I2" s="59"/>
      <c r="J2" s="59"/>
      <c r="K2" s="59"/>
    </row>
    <row r="3" spans="2:11" x14ac:dyDescent="0.25">
      <c r="B3" s="60" t="s">
        <v>256</v>
      </c>
      <c r="C3" s="59"/>
      <c r="D3" s="59"/>
      <c r="E3" s="59"/>
      <c r="F3" s="59"/>
      <c r="G3" s="59"/>
      <c r="H3" s="59"/>
      <c r="I3" s="59"/>
      <c r="J3" s="59"/>
      <c r="K3" s="59"/>
    </row>
    <row r="5" spans="2:11" ht="26.25" x14ac:dyDescent="0.25">
      <c r="B5" s="45" t="s">
        <v>293</v>
      </c>
      <c r="C5" s="40">
        <f>Inputs!$C$9+Inputs!$C$15</f>
        <v>160000</v>
      </c>
    </row>
    <row r="6" spans="2:11" ht="26.25" x14ac:dyDescent="0.25">
      <c r="B6" s="45" t="s">
        <v>294</v>
      </c>
      <c r="C6" s="40">
        <f>(Engine!K7+Engine!L7)*(1-Rules!$C$18)</f>
        <v>19686</v>
      </c>
    </row>
    <row r="7" spans="2:11" x14ac:dyDescent="0.25">
      <c r="B7" s="30" t="s">
        <v>257</v>
      </c>
      <c r="C7" s="41">
        <f>Inputs!$C$39</f>
        <v>0.03</v>
      </c>
    </row>
    <row r="8" spans="2:11" x14ac:dyDescent="0.25">
      <c r="B8" s="30" t="s">
        <v>258</v>
      </c>
      <c r="C8" s="42">
        <f>Inputs!$C$19</f>
        <v>29</v>
      </c>
    </row>
    <row r="9" spans="2:11" x14ac:dyDescent="0.25">
      <c r="B9" s="30" t="s">
        <v>259</v>
      </c>
      <c r="C9" s="43">
        <f>(1+Inputs!$C$38)^Inputs!$C$19</f>
        <v>2.0464073942261352</v>
      </c>
    </row>
    <row r="12" spans="2:11" x14ac:dyDescent="0.25">
      <c r="B12" s="3" t="s">
        <v>260</v>
      </c>
    </row>
    <row r="14" spans="2:11" ht="36" x14ac:dyDescent="0.25">
      <c r="B14" s="11" t="s">
        <v>261</v>
      </c>
      <c r="C14" s="18">
        <v>0.05</v>
      </c>
      <c r="D14" s="18">
        <v>5.5E-2</v>
      </c>
      <c r="E14" s="18">
        <v>0.06</v>
      </c>
      <c r="F14" s="18">
        <v>6.5000000000000002E-2</v>
      </c>
      <c r="G14" s="18">
        <v>7.0000000000000007E-2</v>
      </c>
      <c r="H14" s="18">
        <v>7.4999999999999997E-2</v>
      </c>
      <c r="I14" s="18">
        <v>0.08</v>
      </c>
      <c r="J14" s="18">
        <v>8.5000000000000006E-2</v>
      </c>
      <c r="K14" s="18">
        <v>0.09</v>
      </c>
    </row>
    <row r="15" spans="2:11" x14ac:dyDescent="0.25">
      <c r="B15" s="19">
        <v>4.0000000000000001E-3</v>
      </c>
      <c r="C15" s="8">
        <f>($C$5*(1+(C$14-$B15))^$C$8+$C$6*((1+(C$14-$B15))^$C$8-(1+$C$7)^$C$8)/((C$14-$B15)-$C$7))/(1+Inputs!$C$38)^$C$8</f>
        <v>1086710.6370372917</v>
      </c>
      <c r="D15" s="8">
        <f>($C$5*(1+(D$14-$B15))^$C$8+$C$6*((1+(D$14-$B15))^$C$8-(1+$C$7)^$C$8)/((D$14-$B15)-$C$7))/(1+Inputs!$C$38)^$C$8</f>
        <v>1189641.2112463559</v>
      </c>
      <c r="E15" s="8">
        <f>($C$5*(1+(E$14-$B15))^$C$8+$C$6*((1+(E$14-$B15))^$C$8-(1+$C$7)^$C$8)/((E$14-$B15)-$C$7))/(1+Inputs!$C$38)^$C$8</f>
        <v>1304314.8512848478</v>
      </c>
      <c r="F15" s="8">
        <f>($C$5*(1+(F$14-$B15))^$C$8+$C$6*((1+(F$14-$B15))^$C$8-(1+$C$7)^$C$8)/((F$14-$B15)-$C$7))/(1+Inputs!$C$38)^$C$8</f>
        <v>1432130.5953855582</v>
      </c>
      <c r="G15" s="8">
        <f>($C$5*(1+(G$14-$B15))^$C$8+$C$6*((1+(G$14-$B15))^$C$8-(1+$C$7)^$C$8)/((G$14-$B15)-$C$7))/(1+Inputs!$C$38)^$C$8</f>
        <v>1574654.1768571516</v>
      </c>
      <c r="H15" s="8">
        <f>($C$5*(1+(H$14-$B15))^$C$8+$C$6*((1+(H$14-$B15))^$C$8-(1+$C$7)^$C$8)/((H$14-$B15)-$C$7))/(1+Inputs!$C$38)^$C$8</f>
        <v>1733637.5106120922</v>
      </c>
      <c r="I15" s="8">
        <f>($C$5*(1+(I$14-$B15))^$C$8+$C$6*((1+(I$14-$B15))^$C$8-(1+$C$7)^$C$8)/((I$14-$B15)-$C$7))/(1+Inputs!$C$38)^$C$8</f>
        <v>1911040.3911453842</v>
      </c>
      <c r="J15" s="8">
        <f>($C$5*(1+(J$14-$B15))^$C$8+$C$6*((1+(J$14-$B15))^$C$8-(1+$C$7)^$C$8)/((J$14-$B15)-$C$7))/(1+Inputs!$C$38)^$C$8</f>
        <v>2109054.6439503324</v>
      </c>
      <c r="K15" s="8">
        <f>($C$5*(1+(K$14-$B15))^$C$8+$C$6*((1+(K$14-$B15))^$C$8-(1+$C$7)^$C$8)/((K$14-$B15)-$C$7))/(1+Inputs!$C$38)^$C$8</f>
        <v>2330130.9977624249</v>
      </c>
    </row>
    <row r="16" spans="2:11" x14ac:dyDescent="0.25">
      <c r="B16" s="19">
        <v>6.0000000000000001E-3</v>
      </c>
      <c r="C16" s="8">
        <f>($C$5*(1+(C$14-$B16))^$C$8+$C$6*((1+(C$14-$B16))^$C$8-(1+$C$7)^$C$8)/((C$14-$B16)-$C$7))/(1+Inputs!$C$38)^$C$8</f>
        <v>1048541.8580356785</v>
      </c>
      <c r="D16" s="8">
        <f>($C$5*(1+(D$14-$B16))^$C$8+$C$6*((1+(D$14-$B16))^$C$8-(1+$C$7)^$C$8)/((D$14-$B16)-$C$7))/(1+Inputs!$C$38)^$C$8</f>
        <v>1147132.9699097311</v>
      </c>
      <c r="E16" s="8">
        <f>($C$5*(1+(E$14-$B16))^$C$8+$C$6*((1+(E$14-$B16))^$C$8-(1+$C$7)^$C$8)/((E$14-$B16)-$C$7))/(1+Inputs!$C$38)^$C$8</f>
        <v>1256950.225982043</v>
      </c>
      <c r="F16" s="8">
        <f>($C$5*(1+(F$14-$B16))^$C$8+$C$6*((1+(F$14-$B16))^$C$8-(1+$C$7)^$C$8)/((F$14-$B16)-$C$7))/(1+Inputs!$C$38)^$C$8</f>
        <v>1379330.9894890359</v>
      </c>
      <c r="G16" s="8">
        <f>($C$5*(1+(G$14-$B16))^$C$8+$C$6*((1+(G$14-$B16))^$C$8-(1+$C$7)^$C$8)/((G$14-$B16)-$C$7))/(1+Inputs!$C$38)^$C$8</f>
        <v>1515772.0935768301</v>
      </c>
      <c r="H16" s="8">
        <f>($C$5*(1+(H$14-$B16))^$C$8+$C$6*((1+(H$14-$B16))^$C$8-(1+$C$7)^$C$8)/((H$14-$B16)-$C$7))/(1+Inputs!$C$38)^$C$8</f>
        <v>1667948.5057621473</v>
      </c>
      <c r="I16" s="8">
        <f>($C$5*(1+(I$14-$B16))^$C$8+$C$6*((1+(I$14-$B16))^$C$8-(1+$C$7)^$C$8)/((I$14-$B16)-$C$7))/(1+Inputs!$C$38)^$C$8</f>
        <v>1837734.1136346466</v>
      </c>
      <c r="J16" s="8">
        <f>($C$5*(1+(J$14-$B16))^$C$8+$C$6*((1+(J$14-$B16))^$C$8-(1+$C$7)^$C$8)/((J$14-$B16)-$C$7))/(1+Inputs!$C$38)^$C$8</f>
        <v>2027224.8642880942</v>
      </c>
      <c r="K16" s="8">
        <f>($C$5*(1+(K$14-$B16))^$C$8+$C$6*((1+(K$14-$B16))^$C$8-(1+$C$7)^$C$8)/((K$14-$B16)-$C$7))/(1+Inputs!$C$38)^$C$8</f>
        <v>2238764.5144171049</v>
      </c>
    </row>
    <row r="17" spans="2:11" x14ac:dyDescent="0.25">
      <c r="B17" s="19">
        <v>8.0000000000000002E-3</v>
      </c>
      <c r="C17" s="8">
        <f>($C$5*(1+(C$14-$B17))^$C$8+$C$6*((1+(C$14-$B17))^$C$8-(1+$C$7)^$C$8)/((C$14-$B17)-$C$7))/(1+Inputs!$C$38)^$C$8</f>
        <v>1011976.6907723516</v>
      </c>
      <c r="D17" s="8">
        <f>($C$5*(1+(D$14-$B17))^$C$8+$C$6*((1+(D$14-$B17))^$C$8-(1+$C$7)^$C$8)/((D$14-$B17)-$C$7))/(1+Inputs!$C$38)^$C$8</f>
        <v>1106419.3156839018</v>
      </c>
      <c r="E17" s="8">
        <f>($C$5*(1+(E$14-$B17))^$C$8+$C$6*((1+(E$14-$B17))^$C$8-(1+$C$7)^$C$8)/((E$14-$B17)-$C$7))/(1+Inputs!$C$38)^$C$8</f>
        <v>1211593.9785408026</v>
      </c>
      <c r="F17" s="8">
        <f>($C$5*(1+(F$14-$B17))^$C$8+$C$6*((1+(F$14-$B17))^$C$8-(1+$C$7)^$C$8)/((F$14-$B17)-$C$7))/(1+Inputs!$C$38)^$C$8</f>
        <v>1328779.0460164843</v>
      </c>
      <c r="G17" s="8">
        <f>($C$5*(1+(G$14-$B17))^$C$8+$C$6*((1+(G$14-$B17))^$C$8-(1+$C$7)^$C$8)/((G$14-$B17)-$C$7))/(1+Inputs!$C$38)^$C$8</f>
        <v>1459405.4350560752</v>
      </c>
      <c r="H17" s="8">
        <f>($C$5*(1+(H$14-$B17))^$C$8+$C$6*((1+(H$14-$B17))^$C$8-(1+$C$7)^$C$8)/((H$14-$B17)-$C$7))/(1+Inputs!$C$38)^$C$8</f>
        <v>1605074.4888922726</v>
      </c>
      <c r="I17" s="8">
        <f>($C$5*(1+(I$14-$B17))^$C$8+$C$6*((1+(I$14-$B17))^$C$8-(1+$C$7)^$C$8)/((I$14-$B17)-$C$7))/(1+Inputs!$C$38)^$C$8</f>
        <v>1767577.8876442108</v>
      </c>
      <c r="J17" s="8">
        <f>($C$5*(1+(J$14-$B17))^$C$8+$C$6*((1+(J$14-$B17))^$C$8-(1+$C$7)^$C$8)/((J$14-$B17)-$C$7))/(1+Inputs!$C$38)^$C$8</f>
        <v>1948919.8168464229</v>
      </c>
      <c r="K17" s="8">
        <f>($C$5*(1+(K$14-$B17))^$C$8+$C$6*((1+(K$14-$B17))^$C$8-(1+$C$7)^$C$8)/((K$14-$B17)-$C$7))/(1+Inputs!$C$38)^$C$8</f>
        <v>2151341.640782848</v>
      </c>
    </row>
    <row r="18" spans="2:11" x14ac:dyDescent="0.25">
      <c r="B18" s="19">
        <v>0.01</v>
      </c>
      <c r="C18" s="8">
        <f>($C$5*(1+(C$14-$B18))^$C$8+$C$6*((1+(C$14-$B18))^$C$8-(1+$C$7)^$C$8)/((C$14-$B18)-$C$7))/(1+Inputs!$C$38)^$C$8</f>
        <v>976944.58646431728</v>
      </c>
      <c r="D18" s="8">
        <f>($C$5*(1+(D$14-$B18))^$C$8+$C$6*((1+(D$14-$B18))^$C$8-(1+$C$7)^$C$8)/((D$14-$B18)-$C$7))/(1+Inputs!$C$38)^$C$8</f>
        <v>1067421.2610140133</v>
      </c>
      <c r="E18" s="8">
        <f>($C$5*(1+(E$14-$B18))^$C$8+$C$6*((1+(E$14-$B18))^$C$8-(1+$C$7)^$C$8)/((E$14-$B18)-$C$7))/(1+Inputs!$C$38)^$C$8</f>
        <v>1168157.6898983563</v>
      </c>
      <c r="F18" s="8">
        <f>($C$5*(1+(F$14-$B18))^$C$8+$C$6*((1+(F$14-$B18))^$C$8-(1+$C$7)^$C$8)/((F$14-$B18)-$C$7))/(1+Inputs!$C$38)^$C$8</f>
        <v>1280375.8081316825</v>
      </c>
      <c r="G18" s="8">
        <f>($C$5*(1+(G$14-$B18))^$C$8+$C$6*((1+(G$14-$B18))^$C$8-(1+$C$7)^$C$8)/((G$14-$B18)-$C$7))/(1+Inputs!$C$38)^$C$8</f>
        <v>1405443.4743613105</v>
      </c>
      <c r="H18" s="8">
        <f>($C$5*(1+(H$14-$B18))^$C$8+$C$6*((1+(H$14-$B18))^$C$8-(1+$C$7)^$C$8)/((H$14-$B18)-$C$7))/(1+Inputs!$C$38)^$C$8</f>
        <v>1544891.5907332988</v>
      </c>
      <c r="I18" s="8">
        <f>($C$5*(1+(I$14-$B18))^$C$8+$C$6*((1+(I$14-$B18))^$C$8-(1+$C$7)^$C$8)/((I$14-$B18)-$C$7))/(1+Inputs!$C$38)^$C$8</f>
        <v>1700433.1740993143</v>
      </c>
      <c r="J18" s="8">
        <f>($C$5*(1+(J$14-$B18))^$C$8+$C$6*((1+(J$14-$B18))^$C$8-(1+$C$7)^$C$8)/((J$14-$B18)-$C$7))/(1+Inputs!$C$38)^$C$8</f>
        <v>1873984.5931167859</v>
      </c>
      <c r="K18" s="8">
        <f>($C$5*(1+(K$14-$B18))^$C$8+$C$6*((1+(K$14-$B18))^$C$8-(1+$C$7)^$C$8)/((K$14-$B18)-$C$7))/(1+Inputs!$C$38)^$C$8</f>
        <v>2067689.2084342977</v>
      </c>
    </row>
    <row r="19" spans="2:11" x14ac:dyDescent="0.25">
      <c r="B19" s="19">
        <v>1.2E-2</v>
      </c>
      <c r="C19" s="8">
        <f>($C$5*(1+(C$14-$B19))^$C$8+$C$6*((1+(C$14-$B19))^$C$8-(1+$C$7)^$C$8)/((C$14-$B19)-$C$7))/(1+Inputs!$C$38)^$C$8</f>
        <v>943378.11712017772</v>
      </c>
      <c r="D19" s="8">
        <f>($C$5*(1+(D$14-$B19))^$C$8+$C$6*((1+(D$14-$B19))^$C$8-(1+$C$7)^$C$8)/((D$14-$B19)-$C$7))/(1+Inputs!$C$38)^$C$8</f>
        <v>1030063.3070173524</v>
      </c>
      <c r="E19" s="8">
        <f>($C$5*(1+(E$14-$B19))^$C$8+$C$6*((1+(E$14-$B19))^$C$8-(1+$C$7)^$C$8)/((E$14-$B19)-$C$7))/(1+Inputs!$C$38)^$C$8</f>
        <v>1126556.8397221838</v>
      </c>
      <c r="F19" s="8">
        <f>($C$5*(1+(F$14-$B19))^$C$8+$C$6*((1+(F$14-$B19))^$C$8-(1+$C$7)^$C$8)/((F$14-$B19)-$C$7))/(1+Inputs!$C$38)^$C$8</f>
        <v>1234026.6746319004</v>
      </c>
      <c r="G19" s="8">
        <f>($C$5*(1+(G$14-$B19))^$C$8+$C$6*((1+(G$14-$B19))^$C$8-(1+$C$7)^$C$8)/((G$14-$B19)-$C$7))/(1+Inputs!$C$38)^$C$8</f>
        <v>1353780.3491045269</v>
      </c>
      <c r="H19" s="8">
        <f>($C$5*(1+(H$14-$B19))^$C$8+$C$6*((1+(H$14-$B19))^$C$8-(1+$C$7)^$C$8)/((H$14-$B19)-$C$7))/(1+Inputs!$C$38)^$C$8</f>
        <v>1487281.3731925739</v>
      </c>
      <c r="I19" s="8">
        <f>($C$5*(1+(I$14-$B19))^$C$8+$C$6*((1+(I$14-$B19))^$C$8-(1+$C$7)^$C$8)/((I$14-$B19)-$C$7))/(1+Inputs!$C$38)^$C$8</f>
        <v>1636167.4957629936</v>
      </c>
      <c r="J19" s="8">
        <f>($C$5*(1+(J$14-$B19))^$C$8+$C$6*((1+(J$14-$B19))^$C$8-(1+$C$7)^$C$8)/((J$14-$B19)-$C$7))/(1+Inputs!$C$38)^$C$8</f>
        <v>1802271.0480936468</v>
      </c>
      <c r="K19" s="8">
        <f>($C$5*(1+(K$14-$B19))^$C$8+$C$6*((1+(K$14-$B19))^$C$8-(1+$C$7)^$C$8)/((K$14-$B19)-$C$7))/(1+Inputs!$C$38)^$C$8</f>
        <v>1987641.5928203159</v>
      </c>
    </row>
    <row r="20" spans="2:11" x14ac:dyDescent="0.25">
      <c r="B20" s="19">
        <v>1.4E-2</v>
      </c>
      <c r="C20" s="8">
        <f>($C$5*(1+(C$14-$B20))^$C$8+$C$6*((1+(C$14-$B20))^$C$8-(1+$C$7)^$C$8)/((C$14-$B20)-$C$7))/(1+Inputs!$C$38)^$C$8</f>
        <v>911212.83923866053</v>
      </c>
      <c r="D20" s="8">
        <f>($C$5*(1+(D$14-$B20))^$C$8+$C$6*((1+(D$14-$B20))^$C$8-(1+$C$7)^$C$8)/((D$14-$B20)-$C$7))/(1+Inputs!$C$38)^$C$8</f>
        <v>994273.29151563556</v>
      </c>
      <c r="E20" s="8">
        <f>($C$5*(1+(E$14-$B20))^$C$8+$C$6*((1+(E$14-$B20))^$C$8-(1+$C$7)^$C$8)/((E$14-$B20)-$C$7))/(1+Inputs!$C$38)^$C$8</f>
        <v>1086710.6370372917</v>
      </c>
      <c r="F20" s="8">
        <f>($C$5*(1+(F$14-$B20))^$C$8+$C$6*((1+(F$14-$B20))^$C$8-(1+$C$7)^$C$8)/((F$14-$B20)-$C$7))/(1+Inputs!$C$38)^$C$8</f>
        <v>1189641.2112463559</v>
      </c>
      <c r="G20" s="8">
        <f>($C$5*(1+(G$14-$B20))^$C$8+$C$6*((1+(G$14-$B20))^$C$8-(1+$C$7)^$C$8)/((G$14-$B20)-$C$7))/(1+Inputs!$C$38)^$C$8</f>
        <v>1304314.8512848476</v>
      </c>
      <c r="H20" s="8">
        <f>($C$5*(1+(H$14-$B20))^$C$8+$C$6*((1+(H$14-$B20))^$C$8-(1+$C$7)^$C$8)/((H$14-$B20)-$C$7))/(1+Inputs!$C$38)^$C$8</f>
        <v>1432130.5953855582</v>
      </c>
      <c r="I20" s="8">
        <f>($C$5*(1+(I$14-$B20))^$C$8+$C$6*((1+(I$14-$B20))^$C$8-(1+$C$7)^$C$8)/((I$14-$B20)-$C$7))/(1+Inputs!$C$38)^$C$8</f>
        <v>1574654.1768571516</v>
      </c>
      <c r="J20" s="8">
        <f>($C$5*(1+(J$14-$B20))^$C$8+$C$6*((1+(J$14-$B20))^$C$8-(1+$C$7)^$C$8)/((J$14-$B20)-$C$7))/(1+Inputs!$C$38)^$C$8</f>
        <v>1733637.5106120917</v>
      </c>
      <c r="K20" s="8">
        <f>($C$5*(1+(K$14-$B20))^$C$8+$C$6*((1+(K$14-$B20))^$C$8-(1+$C$7)^$C$8)/((K$14-$B20)-$C$7))/(1+Inputs!$C$38)^$C$8</f>
        <v>1911040.3911453842</v>
      </c>
    </row>
    <row r="21" spans="2:11" x14ac:dyDescent="0.25">
      <c r="B21" s="19">
        <v>1.6E-2</v>
      </c>
      <c r="C21" s="8">
        <f>($C$5*(1+(C$14-$B21))^$C$8+$C$6*((1+(C$14-$B21))^$C$8-(1+$C$7)^$C$8)/((C$14-$B21)-$C$7))/(1+Inputs!$C$38)^$C$8</f>
        <v>880387.16332505492</v>
      </c>
      <c r="D21" s="8">
        <f>($C$5*(1+(D$14-$B21))^$C$8+$C$6*((1+(D$14-$B21))^$C$8-(1+$C$7)^$C$8)/((D$14-$B21)-$C$7))/(1+Inputs!$C$38)^$C$8</f>
        <v>959982.24353264808</v>
      </c>
      <c r="E21" s="8">
        <f>($C$5*(1+(E$14-$B21))^$C$8+$C$6*((1+(E$14-$B21))^$C$8-(1+$C$7)^$C$8)/((E$14-$B21)-$C$7))/(1+Inputs!$C$38)^$C$8</f>
        <v>1048541.8580356789</v>
      </c>
      <c r="F21" s="8">
        <f>($C$5*(1+(F$14-$B21))^$C$8+$C$6*((1+(F$14-$B21))^$C$8-(1+$C$7)^$C$8)/((F$14-$B21)-$C$7))/(1+Inputs!$C$38)^$C$8</f>
        <v>1147132.9699097311</v>
      </c>
      <c r="G21" s="8">
        <f>($C$5*(1+(G$14-$B21))^$C$8+$C$6*((1+(G$14-$B21))^$C$8-(1+$C$7)^$C$8)/((G$14-$B21)-$C$7))/(1+Inputs!$C$38)^$C$8</f>
        <v>1256950.2259820427</v>
      </c>
      <c r="H21" s="8">
        <f>($C$5*(1+(H$14-$B21))^$C$8+$C$6*((1+(H$14-$B21))^$C$8-(1+$C$7)^$C$8)/((H$14-$B21)-$C$7))/(1+Inputs!$C$38)^$C$8</f>
        <v>1379330.9894890361</v>
      </c>
      <c r="I21" s="8">
        <f>($C$5*(1+(I$14-$B21))^$C$8+$C$6*((1+(I$14-$B21))^$C$8-(1+$C$7)^$C$8)/((I$14-$B21)-$C$7))/(1+Inputs!$C$38)^$C$8</f>
        <v>1515772.0935768301</v>
      </c>
      <c r="J21" s="8">
        <f>($C$5*(1+(J$14-$B21))^$C$8+$C$6*((1+(J$14-$B21))^$C$8-(1+$C$7)^$C$8)/((J$14-$B21)-$C$7))/(1+Inputs!$C$38)^$C$8</f>
        <v>1667948.5057621468</v>
      </c>
      <c r="K21" s="8">
        <f>($C$5*(1+(K$14-$B21))^$C$8+$C$6*((1+(K$14-$B21))^$C$8-(1+$C$7)^$C$8)/((K$14-$B21)-$C$7))/(1+Inputs!$C$38)^$C$8</f>
        <v>1837734.1136346466</v>
      </c>
    </row>
    <row r="22" spans="2:11" x14ac:dyDescent="0.25">
      <c r="B22" s="2" t="s">
        <v>262</v>
      </c>
    </row>
    <row r="25" spans="2:11" x14ac:dyDescent="0.25">
      <c r="B25" s="3" t="s">
        <v>263</v>
      </c>
    </row>
    <row r="27" spans="2:11" ht="48" x14ac:dyDescent="0.25">
      <c r="B27" s="11" t="s">
        <v>264</v>
      </c>
      <c r="C27" s="15">
        <v>62</v>
      </c>
      <c r="D27" s="15">
        <v>63</v>
      </c>
      <c r="E27" s="15">
        <v>64</v>
      </c>
      <c r="F27" s="15">
        <v>65</v>
      </c>
      <c r="G27" s="15">
        <v>66</v>
      </c>
      <c r="H27" s="15">
        <v>67</v>
      </c>
      <c r="I27" s="15">
        <v>68</v>
      </c>
      <c r="J27" s="15">
        <v>69</v>
      </c>
      <c r="K27" s="15">
        <v>70</v>
      </c>
    </row>
    <row r="28" spans="2:11" x14ac:dyDescent="0.25">
      <c r="B28" s="18">
        <v>0.05</v>
      </c>
      <c r="C28" s="8">
        <f>($C$5*(1+($B28-Inputs!$C$42))^(C$27-Inputs!$C$7)+$C$6*((1+($B28-Inputs!$C$42))^(C$27-Inputs!$C$7)-(1+$C$7)^(C$27-Inputs!$C$7))/(($B28-Inputs!$C$42)-$C$7))/(1+Inputs!$C$38)^(C$27-Inputs!$C$7)</f>
        <v>763858.63198943622</v>
      </c>
      <c r="D28" s="8">
        <f>($C$5*(1+($B28-Inputs!$C$42))^(D$27-Inputs!$C$7)+$C$6*((1+($B28-Inputs!$C$42))^(D$27-Inputs!$C$7)-(1+$C$7)^(D$27-Inputs!$C$7))/(($B28-Inputs!$C$42)-$C$7))/(1+Inputs!$C$38)^(D$27-Inputs!$C$7)</f>
        <v>794013.8618690928</v>
      </c>
      <c r="E28" s="8">
        <f>($C$5*(1+($B28-Inputs!$C$42))^(E$27-Inputs!$C$7)+$C$6*((1+($B28-Inputs!$C$42))^(E$27-Inputs!$C$7)-(1+$C$7)^(E$27-Inputs!$C$7))/(($B28-Inputs!$C$42)-$C$7))/(1+Inputs!$C$38)^(E$27-Inputs!$C$7)</f>
        <v>824612.71193102072</v>
      </c>
      <c r="F28" s="8">
        <f>($C$5*(1+($B28-Inputs!$C$42))^(F$27-Inputs!$C$7)+$C$6*((1+($B28-Inputs!$C$42))^(F$27-Inputs!$C$7)-(1+$C$7)^(F$27-Inputs!$C$7))/(($B28-Inputs!$C$42)-$C$7))/(1+Inputs!$C$38)^(F$27-Inputs!$C$7)</f>
        <v>855660.67300269648</v>
      </c>
      <c r="G28" s="8">
        <f>($C$5*(1+($B28-Inputs!$C$42))^(G$27-Inputs!$C$7)+$C$6*((1+($B28-Inputs!$C$42))^(G$27-Inputs!$C$7)-(1+$C$7)^(G$27-Inputs!$C$7))/(($B28-Inputs!$C$42)-$C$7))/(1+Inputs!$C$38)^(G$27-Inputs!$C$7)</f>
        <v>887163.30002148845</v>
      </c>
      <c r="H28" s="8">
        <f>($C$5*(1+($B28-Inputs!$C$42))^(H$27-Inputs!$C$7)+$C$6*((1+($B28-Inputs!$C$42))^(H$27-Inputs!$C$7)-(1+$C$7)^(H$27-Inputs!$C$7))/(($B28-Inputs!$C$42)-$C$7))/(1+Inputs!$C$38)^(H$27-Inputs!$C$7)</f>
        <v>919126.21276616456</v>
      </c>
      <c r="I28" s="8">
        <f>($C$5*(1+($B28-Inputs!$C$42))^(I$27-Inputs!$C$7)+$C$6*((1+($B28-Inputs!$C$42))^(I$27-Inputs!$C$7)-(1+$C$7)^(I$27-Inputs!$C$7))/(($B28-Inputs!$C$42)-$C$7))/(1+Inputs!$C$38)^(I$27-Inputs!$C$7)</f>
        <v>951555.09659666452</v>
      </c>
      <c r="J28" s="8">
        <f>($C$5*(1+($B28-Inputs!$C$42))^(J$27-Inputs!$C$7)+$C$6*((1+($B28-Inputs!$C$42))^(J$27-Inputs!$C$7)-(1+$C$7)^(J$27-Inputs!$C$7))/(($B28-Inputs!$C$42)-$C$7))/(1+Inputs!$C$38)^(J$27-Inputs!$C$7)</f>
        <v>984455.70320222492</v>
      </c>
      <c r="K28" s="8">
        <f>($C$5*(1+($B28-Inputs!$C$42))^(K$27-Inputs!$C$7)+$C$6*((1+($B28-Inputs!$C$42))^(K$27-Inputs!$C$7)-(1+$C$7)^(K$27-Inputs!$C$7))/(($B28-Inputs!$C$42)-$C$7))/(1+Inputs!$C$38)^(K$27-Inputs!$C$7)</f>
        <v>1017833.8513579706</v>
      </c>
    </row>
    <row r="29" spans="2:11" x14ac:dyDescent="0.25">
      <c r="B29" s="18">
        <v>5.5E-2</v>
      </c>
      <c r="C29" s="8">
        <f>($C$5*(1+($B29-Inputs!$C$42))^(C$27-Inputs!$C$7)+$C$6*((1+($B29-Inputs!$C$42))^(C$27-Inputs!$C$7)-(1+$C$7)^(C$27-Inputs!$C$7))/(($B29-Inputs!$C$42)-$C$7))/(1+Inputs!$C$38)^(C$27-Inputs!$C$7)</f>
        <v>822203.31117446581</v>
      </c>
      <c r="D29" s="8">
        <f>($C$5*(1+($B29-Inputs!$C$42))^(D$27-Inputs!$C$7)+$C$6*((1+($B29-Inputs!$C$42))^(D$27-Inputs!$C$7)-(1+$C$7)^(D$27-Inputs!$C$7))/(($B29-Inputs!$C$42)-$C$7))/(1+Inputs!$C$38)^(D$27-Inputs!$C$7)</f>
        <v>857023.88775314752</v>
      </c>
      <c r="E29" s="8">
        <f>($C$5*(1+($B29-Inputs!$C$42))^(E$27-Inputs!$C$7)+$C$6*((1+($B29-Inputs!$C$42))^(E$27-Inputs!$C$7)-(1+$C$7)^(E$27-Inputs!$C$7))/(($B29-Inputs!$C$42)-$C$7))/(1+Inputs!$C$38)^(E$27-Inputs!$C$7)</f>
        <v>892510.28389940062</v>
      </c>
      <c r="F29" s="8">
        <f>($C$5*(1+($B29-Inputs!$C$42))^(F$27-Inputs!$C$7)+$C$6*((1+($B29-Inputs!$C$42))^(F$27-Inputs!$C$7)-(1+$C$7)^(F$27-Inputs!$C$7))/(($B29-Inputs!$C$42)-$C$7))/(1+Inputs!$C$38)^(F$27-Inputs!$C$7)</f>
        <v>928673.73130974395</v>
      </c>
      <c r="G29" s="8">
        <f>($C$5*(1+($B29-Inputs!$C$42))^(G$27-Inputs!$C$7)+$C$6*((1+($B29-Inputs!$C$42))^(G$27-Inputs!$C$7)-(1+$C$7)^(G$27-Inputs!$C$7))/(($B29-Inputs!$C$42)-$C$7))/(1+Inputs!$C$38)^(G$27-Inputs!$C$7)</f>
        <v>965525.64498910122</v>
      </c>
      <c r="H29" s="8">
        <f>($C$5*(1+($B29-Inputs!$C$42))^(H$27-Inputs!$C$7)+$C$6*((1+($B29-Inputs!$C$42))^(H$27-Inputs!$C$7)-(1+$C$7)^(H$27-Inputs!$C$7))/(($B29-Inputs!$C$42)-$C$7))/(1+Inputs!$C$38)^(H$27-Inputs!$C$7)</f>
        <v>1003077.6262138488</v>
      </c>
      <c r="I29" s="8">
        <f>($C$5*(1+($B29-Inputs!$C$42))^(I$27-Inputs!$C$7)+$C$6*((1+($B29-Inputs!$C$42))^(I$27-Inputs!$C$7)-(1+$C$7)^(I$27-Inputs!$C$7))/(($B29-Inputs!$C$42)-$C$7))/(1+Inputs!$C$38)^(I$27-Inputs!$C$7)</f>
        <v>1041341.4655426104</v>
      </c>
      <c r="J29" s="8">
        <f>($C$5*(1+($B29-Inputs!$C$42))^(J$27-Inputs!$C$7)+$C$6*((1+($B29-Inputs!$C$42))^(J$27-Inputs!$C$7)-(1+$C$7)^(J$27-Inputs!$C$7))/(($B29-Inputs!$C$42)-$C$7))/(1+Inputs!$C$38)^(J$27-Inputs!$C$7)</f>
        <v>1080329.1458755778</v>
      </c>
      <c r="K29" s="8">
        <f>($C$5*(1+($B29-Inputs!$C$42))^(K$27-Inputs!$C$7)+$C$6*((1+($B29-Inputs!$C$42))^(K$27-Inputs!$C$7)-(1+$C$7)^(K$27-Inputs!$C$7))/(($B29-Inputs!$C$42)-$C$7))/(1+Inputs!$C$38)^(K$27-Inputs!$C$7)</f>
        <v>1120052.8455631498</v>
      </c>
    </row>
    <row r="30" spans="2:11" x14ac:dyDescent="0.25">
      <c r="B30" s="18">
        <v>0.06</v>
      </c>
      <c r="C30" s="8">
        <f>($C$5*(1+($B30-Inputs!$C$42))^(C$27-Inputs!$C$7)+$C$6*((1+($B30-Inputs!$C$42))^(C$27-Inputs!$C$7)-(1+$C$7)^(C$27-Inputs!$C$7))/(($B30-Inputs!$C$42)-$C$7))/(1+Inputs!$C$38)^(C$27-Inputs!$C$7)</f>
        <v>885981.63756576052</v>
      </c>
      <c r="D30" s="8">
        <f>($C$5*(1+($B30-Inputs!$C$42))^(D$27-Inputs!$C$7)+$C$6*((1+($B30-Inputs!$C$42))^(D$27-Inputs!$C$7)-(1+$C$7)^(D$27-Inputs!$C$7))/(($B30-Inputs!$C$42)-$C$7))/(1+Inputs!$C$38)^(D$27-Inputs!$C$7)</f>
        <v>926150.75128910982</v>
      </c>
      <c r="E30" s="8">
        <f>($C$5*(1+($B30-Inputs!$C$42))^(E$27-Inputs!$C$7)+$C$6*((1+($B30-Inputs!$C$42))^(E$27-Inputs!$C$7)-(1+$C$7)^(E$27-Inputs!$C$7))/(($B30-Inputs!$C$42)-$C$7))/(1+Inputs!$C$38)^(E$27-Inputs!$C$7)</f>
        <v>967267.72987905995</v>
      </c>
      <c r="F30" s="8">
        <f>($C$5*(1+($B30-Inputs!$C$42))^(F$27-Inputs!$C$7)+$C$6*((1+($B30-Inputs!$C$42))^(F$27-Inputs!$C$7)-(1+$C$7)^(F$27-Inputs!$C$7))/(($B30-Inputs!$C$42)-$C$7))/(1+Inputs!$C$38)^(F$27-Inputs!$C$7)</f>
        <v>1009352.9690045827</v>
      </c>
      <c r="G30" s="8">
        <f>($C$5*(1+($B30-Inputs!$C$42))^(G$27-Inputs!$C$7)+$C$6*((1+($B30-Inputs!$C$42))^(G$27-Inputs!$C$7)-(1+$C$7)^(G$27-Inputs!$C$7))/(($B30-Inputs!$C$42)-$C$7))/(1+Inputs!$C$38)^(G$27-Inputs!$C$7)</f>
        <v>1052427.2946517325</v>
      </c>
      <c r="H30" s="8">
        <f>($C$5*(1+($B30-Inputs!$C$42))^(H$27-Inputs!$C$7)+$C$6*((1+($B30-Inputs!$C$42))^(H$27-Inputs!$C$7)-(1+$C$7)^(H$27-Inputs!$C$7))/(($B30-Inputs!$C$42)-$C$7))/(1+Inputs!$C$38)^(H$27-Inputs!$C$7)</f>
        <v>1096511.9721620337</v>
      </c>
      <c r="I30" s="8">
        <f>($C$5*(1+($B30-Inputs!$C$42))^(I$27-Inputs!$C$7)+$C$6*((1+($B30-Inputs!$C$42))^(I$27-Inputs!$C$7)-(1+$C$7)^(I$27-Inputs!$C$7))/(($B30-Inputs!$C$42)-$C$7))/(1+Inputs!$C$38)^(I$27-Inputs!$C$7)</f>
        <v>1141628.715460507</v>
      </c>
      <c r="J30" s="8">
        <f>($C$5*(1+($B30-Inputs!$C$42))^(J$27-Inputs!$C$7)+$C$6*((1+($B30-Inputs!$C$42))^(J$27-Inputs!$C$7)-(1+$C$7)^(J$27-Inputs!$C$7))/(($B30-Inputs!$C$42)-$C$7))/(1+Inputs!$C$38)^(J$27-Inputs!$C$7)</f>
        <v>1187799.6964773256</v>
      </c>
      <c r="K30" s="8">
        <f>($C$5*(1+($B30-Inputs!$C$42))^(K$27-Inputs!$C$7)+$C$6*((1+($B30-Inputs!$C$42))^(K$27-Inputs!$C$7)-(1+$C$7)^(K$27-Inputs!$C$7))/(($B30-Inputs!$C$42)-$C$7))/(1+Inputs!$C$38)^(K$27-Inputs!$C$7)</f>
        <v>1235047.5547671567</v>
      </c>
    </row>
    <row r="31" spans="2:11" x14ac:dyDescent="0.25">
      <c r="B31" s="18">
        <v>6.5000000000000002E-2</v>
      </c>
      <c r="C31" s="8">
        <f>($C$5*(1+($B31-Inputs!$C$42))^(C$27-Inputs!$C$7)+$C$6*((1+($B31-Inputs!$C$42))^(C$27-Inputs!$C$7)-(1+$C$7)^(C$27-Inputs!$C$7))/(($B31-Inputs!$C$42)-$C$7))/(1+Inputs!$C$38)^(C$27-Inputs!$C$7)</f>
        <v>955720.50916241156</v>
      </c>
      <c r="D31" s="8">
        <f>($C$5*(1+($B31-Inputs!$C$42))^(D$27-Inputs!$C$7)+$C$6*((1+($B31-Inputs!$C$42))^(D$27-Inputs!$C$7)-(1+$C$7)^(D$27-Inputs!$C$7))/(($B31-Inputs!$C$42)-$C$7))/(1+Inputs!$C$38)^(D$27-Inputs!$C$7)</f>
        <v>1002014.4895054101</v>
      </c>
      <c r="E31" s="8">
        <f>($C$5*(1+($B31-Inputs!$C$42))^(E$27-Inputs!$C$7)+$C$6*((1+($B31-Inputs!$C$42))^(E$27-Inputs!$C$7)-(1+$C$7)^(E$27-Inputs!$C$7))/(($B31-Inputs!$C$42)-$C$7))/(1+Inputs!$C$38)^(E$27-Inputs!$C$7)</f>
        <v>1049610.631821387</v>
      </c>
      <c r="F31" s="8">
        <f>($C$5*(1+($B31-Inputs!$C$42))^(F$27-Inputs!$C$7)+$C$6*((1+($B31-Inputs!$C$42))^(F$27-Inputs!$C$7)-(1+$C$7)^(F$27-Inputs!$C$7))/(($B31-Inputs!$C$42)-$C$7))/(1+Inputs!$C$38)^(F$27-Inputs!$C$7)</f>
        <v>1098543.1153867799</v>
      </c>
      <c r="G31" s="8">
        <f>($C$5*(1+($B31-Inputs!$C$42))^(G$27-Inputs!$C$7)+$C$6*((1+($B31-Inputs!$C$42))^(G$27-Inputs!$C$7)-(1+$C$7)^(G$27-Inputs!$C$7))/(($B31-Inputs!$C$42)-$C$7))/(1+Inputs!$C$38)^(G$27-Inputs!$C$7)</f>
        <v>1148847.0056428581</v>
      </c>
      <c r="H31" s="8">
        <f>($C$5*(1+($B31-Inputs!$C$42))^(H$27-Inputs!$C$7)+$C$6*((1+($B31-Inputs!$C$42))^(H$27-Inputs!$C$7)-(1+$C$7)^(H$27-Inputs!$C$7))/(($B31-Inputs!$C$42)-$C$7))/(1+Inputs!$C$38)^(H$27-Inputs!$C$7)</f>
        <v>1200558.2771185483</v>
      </c>
      <c r="I31" s="8">
        <f>($C$5*(1+($B31-Inputs!$C$42))^(I$27-Inputs!$C$7)+$C$6*((1+($B31-Inputs!$C$42))^(I$27-Inputs!$C$7)-(1+$C$7)^(I$27-Inputs!$C$7))/(($B31-Inputs!$C$42)-$C$7))/(1+Inputs!$C$38)^(I$27-Inputs!$C$7)</f>
        <v>1253713.8369459559</v>
      </c>
      <c r="J31" s="8">
        <f>($C$5*(1+($B31-Inputs!$C$42))^(J$27-Inputs!$C$7)+$C$6*((1+($B31-Inputs!$C$42))^(J$27-Inputs!$C$7)-(1+$C$7)^(J$27-Inputs!$C$7))/(($B31-Inputs!$C$42)-$C$7))/(1+Inputs!$C$38)^(J$27-Inputs!$C$7)</f>
        <v>1308351.5489839134</v>
      </c>
      <c r="K31" s="8">
        <f>($C$5*(1+($B31-Inputs!$C$42))^(K$27-Inputs!$C$7)+$C$6*((1+($B31-Inputs!$C$42))^(K$27-Inputs!$C$7)-(1+$C$7)^(K$27-Inputs!$C$7))/(($B31-Inputs!$C$42)-$C$7))/(1+Inputs!$C$38)^(K$27-Inputs!$C$7)</f>
        <v>1364510.2585652671</v>
      </c>
    </row>
    <row r="32" spans="2:11" x14ac:dyDescent="0.25">
      <c r="B32" s="18">
        <v>7.0000000000000007E-2</v>
      </c>
      <c r="C32" s="8">
        <f>($C$5*(1+($B32-Inputs!$C$42))^(C$27-Inputs!$C$7)+$C$6*((1+($B32-Inputs!$C$42))^(C$27-Inputs!$C$7)-(1+$C$7)^(C$27-Inputs!$C$7))/(($B32-Inputs!$C$42)-$C$7))/(1+Inputs!$C$38)^(C$27-Inputs!$C$7)</f>
        <v>1031997.5509085456</v>
      </c>
      <c r="D32" s="8">
        <f>($C$5*(1+($B32-Inputs!$C$42))^(D$27-Inputs!$C$7)+$C$6*((1+($B32-Inputs!$C$42))^(D$27-Inputs!$C$7)-(1+$C$7)^(D$27-Inputs!$C$7))/(($B32-Inputs!$C$42)-$C$7))/(1+Inputs!$C$38)^(D$27-Inputs!$C$7)</f>
        <v>1085297.7062377052</v>
      </c>
      <c r="E32" s="8">
        <f>($C$5*(1+($B32-Inputs!$C$42))^(E$27-Inputs!$C$7)+$C$6*((1+($B32-Inputs!$C$42))^(E$27-Inputs!$C$7)-(1+$C$7)^(E$27-Inputs!$C$7))/(($B32-Inputs!$C$42)-$C$7))/(1+Inputs!$C$38)^(E$27-Inputs!$C$7)</f>
        <v>1140341.1595532862</v>
      </c>
      <c r="F32" s="8">
        <f>($C$5*(1+($B32-Inputs!$C$42))^(F$27-Inputs!$C$7)+$C$6*((1+($B32-Inputs!$C$42))^(F$27-Inputs!$C$7)-(1+$C$7)^(F$27-Inputs!$C$7))/(($B32-Inputs!$C$42)-$C$7))/(1+Inputs!$C$38)^(F$27-Inputs!$C$7)</f>
        <v>1197181.9990042027</v>
      </c>
      <c r="G32" s="8">
        <f>($C$5*(1+($B32-Inputs!$C$42))^(G$27-Inputs!$C$7)+$C$6*((1+($B32-Inputs!$C$42))^(G$27-Inputs!$C$7)-(1+$C$7)^(G$27-Inputs!$C$7))/(($B32-Inputs!$C$42)-$C$7))/(1+Inputs!$C$38)^(G$27-Inputs!$C$7)</f>
        <v>1255875.9774660196</v>
      </c>
      <c r="H32" s="8">
        <f>($C$5*(1+($B32-Inputs!$C$42))^(H$27-Inputs!$C$7)+$C$6*((1+($B32-Inputs!$C$42))^(H$27-Inputs!$C$7)-(1+$C$7)^(H$27-Inputs!$C$7))/(($B32-Inputs!$C$42)-$C$7))/(1+Inputs!$C$38)^(H$27-Inputs!$C$7)</f>
        <v>1316480.5637130693</v>
      </c>
      <c r="I32" s="8">
        <f>($C$5*(1+($B32-Inputs!$C$42))^(I$27-Inputs!$C$7)+$C$6*((1+($B32-Inputs!$C$42))^(I$27-Inputs!$C$7)-(1+$C$7)^(I$27-Inputs!$C$7))/(($B32-Inputs!$C$42)-$C$7))/(1+Inputs!$C$38)^(I$27-Inputs!$C$7)</f>
        <v>1379054.9951632279</v>
      </c>
      <c r="J32" s="8">
        <f>($C$5*(1+($B32-Inputs!$C$42))^(J$27-Inputs!$C$7)+$C$6*((1+($B32-Inputs!$C$42))^(J$27-Inputs!$C$7)-(1+$C$7)^(J$27-Inputs!$C$7))/(($B32-Inputs!$C$42)-$C$7))/(1+Inputs!$C$38)^(J$27-Inputs!$C$7)</f>
        <v>1443660.3322436963</v>
      </c>
      <c r="K32" s="8">
        <f>($C$5*(1+($B32-Inputs!$C$42))^(K$27-Inputs!$C$7)+$C$6*((1+($B32-Inputs!$C$42))^(K$27-Inputs!$C$7)-(1+$C$7)^(K$27-Inputs!$C$7))/(($B32-Inputs!$C$42)-$C$7))/(1+Inputs!$C$38)^(K$27-Inputs!$C$7)</f>
        <v>1510359.5144275893</v>
      </c>
    </row>
    <row r="33" spans="2:11" x14ac:dyDescent="0.25">
      <c r="B33" s="18">
        <v>7.4999999999999997E-2</v>
      </c>
      <c r="C33" s="8">
        <f>($C$5*(1+($B33-Inputs!$C$42))^(C$27-Inputs!$C$7)+$C$6*((1+($B33-Inputs!$C$42))^(C$27-Inputs!$C$7)-(1+$C$7)^(C$27-Inputs!$C$7))/(($B33-Inputs!$C$42)-$C$7))/(1+Inputs!$C$38)^(C$27-Inputs!$C$7)</f>
        <v>1115445.8620374203</v>
      </c>
      <c r="D33" s="8">
        <f>($C$5*(1+($B33-Inputs!$C$42))^(D$27-Inputs!$C$7)+$C$6*((1+($B33-Inputs!$C$42))^(D$27-Inputs!$C$7)-(1+$C$7)^(D$27-Inputs!$C$7))/(($B33-Inputs!$C$42)-$C$7))/(1+Inputs!$C$38)^(D$27-Inputs!$C$7)</f>
        <v>1176751.7257673088</v>
      </c>
      <c r="E33" s="8">
        <f>($C$5*(1+($B33-Inputs!$C$42))^(E$27-Inputs!$C$7)+$C$6*((1+($B33-Inputs!$C$42))^(E$27-Inputs!$C$7)-(1+$C$7)^(E$27-Inputs!$C$7))/(($B33-Inputs!$C$42)-$C$7))/(1+Inputs!$C$38)^(E$27-Inputs!$C$7)</f>
        <v>1240345.9695648598</v>
      </c>
      <c r="F33" s="8">
        <f>($C$5*(1+($B33-Inputs!$C$42))^(F$27-Inputs!$C$7)+$C$6*((1+($B33-Inputs!$C$42))^(F$27-Inputs!$C$7)-(1+$C$7)^(F$27-Inputs!$C$7))/(($B33-Inputs!$C$42)-$C$7))/(1+Inputs!$C$38)^(F$27-Inputs!$C$7)</f>
        <v>1306310.5957115702</v>
      </c>
      <c r="G33" s="8">
        <f>($C$5*(1+($B33-Inputs!$C$42))^(G$27-Inputs!$C$7)+$C$6*((1+($B33-Inputs!$C$42))^(G$27-Inputs!$C$7)-(1+$C$7)^(G$27-Inputs!$C$7))/(($B33-Inputs!$C$42)-$C$7))/(1+Inputs!$C$38)^(G$27-Inputs!$C$7)</f>
        <v>1374730.5290756708</v>
      </c>
      <c r="H33" s="8">
        <f>($C$5*(1+($B33-Inputs!$C$42))^(H$27-Inputs!$C$7)+$C$6*((1+($B33-Inputs!$C$42))^(H$27-Inputs!$C$7)-(1+$C$7)^(H$27-Inputs!$C$7))/(($B33-Inputs!$C$42)-$C$7))/(1+Inputs!$C$38)^(H$27-Inputs!$C$7)</f>
        <v>1445693.7211969474</v>
      </c>
      <c r="I33" s="8">
        <f>($C$5*(1+($B33-Inputs!$C$42))^(I$27-Inputs!$C$7)+$C$6*((1+($B33-Inputs!$C$42))^(I$27-Inputs!$C$7)-(1+$C$7)^(I$27-Inputs!$C$7))/(($B33-Inputs!$C$42)-$C$7))/(1+Inputs!$C$38)^(I$27-Inputs!$C$7)</f>
        <v>1519291.2580780594</v>
      </c>
      <c r="J33" s="8">
        <f>($C$5*(1+($B33-Inputs!$C$42))^(J$27-Inputs!$C$7)+$C$6*((1+($B33-Inputs!$C$42))^(J$27-Inputs!$C$7)-(1+$C$7)^(J$27-Inputs!$C$7))/(($B33-Inputs!$C$42)-$C$7))/(1+Inputs!$C$38)^(J$27-Inputs!$C$7)</f>
        <v>1595617.4718143397</v>
      </c>
      <c r="K33" s="8">
        <f>($C$5*(1+($B33-Inputs!$C$42))^(K$27-Inputs!$C$7)+$C$6*((1+($B33-Inputs!$C$42))^(K$27-Inputs!$C$7)-(1+$C$7)^(K$27-Inputs!$C$7))/(($B33-Inputs!$C$42)-$C$7))/(1+Inputs!$C$38)^(K$27-Inputs!$C$7)</f>
        <v>1674770.0561987676</v>
      </c>
    </row>
    <row r="34" spans="2:11" x14ac:dyDescent="0.25">
      <c r="B34" s="18">
        <v>0.08</v>
      </c>
      <c r="C34" s="8">
        <f>($C$5*(1+($B34-Inputs!$C$42))^(C$27-Inputs!$C$7)+$C$6*((1+($B34-Inputs!$C$42))^(C$27-Inputs!$C$7)-(1+$C$7)^(C$27-Inputs!$C$7))/(($B34-Inputs!$C$42)-$C$7))/(1+Inputs!$C$38)^(C$27-Inputs!$C$7)</f>
        <v>1206759.1901990389</v>
      </c>
      <c r="D34" s="8">
        <f>($C$5*(1+($B34-Inputs!$C$42))^(D$27-Inputs!$C$7)+$C$6*((1+($B34-Inputs!$C$42))^(D$27-Inputs!$C$7)-(1+$C$7)^(D$27-Inputs!$C$7))/(($B34-Inputs!$C$42)-$C$7))/(1+Inputs!$C$38)^(D$27-Inputs!$C$7)</f>
        <v>1277203.329469312</v>
      </c>
      <c r="E34" s="8">
        <f>($C$5*(1+($B34-Inputs!$C$42))^(E$27-Inputs!$C$7)+$C$6*((1+($B34-Inputs!$C$42))^(E$27-Inputs!$C$7)-(1+$C$7)^(E$27-Inputs!$C$7))/(($B34-Inputs!$C$42)-$C$7))/(1+Inputs!$C$38)^(E$27-Inputs!$C$7)</f>
        <v>1350604.8905180525</v>
      </c>
      <c r="F34" s="8">
        <f>($C$5*(1+($B34-Inputs!$C$42))^(F$27-Inputs!$C$7)+$C$6*((1+($B34-Inputs!$C$42))^(F$27-Inputs!$C$7)-(1+$C$7)^(F$27-Inputs!$C$7))/(($B34-Inputs!$C$42)-$C$7))/(1+Inputs!$C$38)^(F$27-Inputs!$C$7)</f>
        <v>1427084.126486599</v>
      </c>
      <c r="G34" s="8">
        <f>($C$5*(1+($B34-Inputs!$C$42))^(G$27-Inputs!$C$7)+$C$6*((1+($B34-Inputs!$C$42))^(G$27-Inputs!$C$7)-(1+$C$7)^(G$27-Inputs!$C$7))/(($B34-Inputs!$C$42)-$C$7))/(1+Inputs!$C$38)^(G$27-Inputs!$C$7)</f>
        <v>1506766.161807501</v>
      </c>
      <c r="H34" s="8">
        <f>($C$5*(1+($B34-Inputs!$C$42))^(H$27-Inputs!$C$7)+$C$6*((1+($B34-Inputs!$C$42))^(H$27-Inputs!$C$7)-(1+$C$7)^(H$27-Inputs!$C$7))/(($B34-Inputs!$C$42)-$C$7))/(1+Inputs!$C$38)^(H$27-Inputs!$C$7)</f>
        <v>1589781.1894446299</v>
      </c>
      <c r="I34" s="8">
        <f>($C$5*(1+($B34-Inputs!$C$42))^(I$27-Inputs!$C$7)+$C$6*((1+($B34-Inputs!$C$42))^(I$27-Inputs!$C$7)-(1+$C$7)^(I$27-Inputs!$C$7))/(($B34-Inputs!$C$42)-$C$7))/(1+Inputs!$C$38)^(I$27-Inputs!$C$7)</f>
        <v>1676264.6761191702</v>
      </c>
      <c r="J34" s="8">
        <f>($C$5*(1+($B34-Inputs!$C$42))^(J$27-Inputs!$C$7)+$C$6*((1+($B34-Inputs!$C$42))^(J$27-Inputs!$C$7)-(1+$C$7)^(J$27-Inputs!$C$7))/(($B34-Inputs!$C$42)-$C$7))/(1+Inputs!$C$38)^(J$27-Inputs!$C$7)</f>
        <v>1766357.5758448134</v>
      </c>
      <c r="K34" s="8">
        <f>($C$5*(1+($B34-Inputs!$C$42))^(K$27-Inputs!$C$7)+$C$6*((1+($B34-Inputs!$C$42))^(K$27-Inputs!$C$7)-(1+$C$7)^(K$27-Inputs!$C$7))/(($B34-Inputs!$C$42)-$C$7))/(1+Inputs!$C$38)^(K$27-Inputs!$C$7)</f>
        <v>1860206.5521085917</v>
      </c>
    </row>
    <row r="35" spans="2:11" x14ac:dyDescent="0.25">
      <c r="B35" s="18">
        <v>8.5000000000000006E-2</v>
      </c>
      <c r="C35" s="8">
        <f>($C$5*(1+($B35-Inputs!$C$42))^(C$27-Inputs!$C$7)+$C$6*((1+($B35-Inputs!$C$42))^(C$27-Inputs!$C$7)-(1+$C$7)^(C$27-Inputs!$C$7))/(($B35-Inputs!$C$42)-$C$7))/(1+Inputs!$C$38)^(C$27-Inputs!$C$7)</f>
        <v>1306697.5689345049</v>
      </c>
      <c r="D35" s="8">
        <f>($C$5*(1+($B35-Inputs!$C$42))^(D$27-Inputs!$C$7)+$C$6*((1+($B35-Inputs!$C$42))^(D$27-Inputs!$C$7)-(1+$C$7)^(D$27-Inputs!$C$7))/(($B35-Inputs!$C$42)-$C$7))/(1+Inputs!$C$38)^(D$27-Inputs!$C$7)</f>
        <v>1387562.1282654551</v>
      </c>
      <c r="E35" s="8">
        <f>($C$5*(1+($B35-Inputs!$C$42))^(E$27-Inputs!$C$7)+$C$6*((1+($B35-Inputs!$C$42))^(E$27-Inputs!$C$7)-(1+$C$7)^(E$27-Inputs!$C$7))/(($B35-Inputs!$C$42)-$C$7))/(1+Inputs!$C$38)^(E$27-Inputs!$C$7)</f>
        <v>1472200.470574066</v>
      </c>
      <c r="F35" s="8">
        <f>($C$5*(1+($B35-Inputs!$C$42))^(F$27-Inputs!$C$7)+$C$6*((1+($B35-Inputs!$C$42))^(F$27-Inputs!$C$7)-(1+$C$7)^(F$27-Inputs!$C$7))/(($B35-Inputs!$C$42)-$C$7))/(1+Inputs!$C$38)^(F$27-Inputs!$C$7)</f>
        <v>1560784.3103720713</v>
      </c>
      <c r="G35" s="8">
        <f>($C$5*(1+($B35-Inputs!$C$42))^(G$27-Inputs!$C$7)+$C$6*((1+($B35-Inputs!$C$42))^(G$27-Inputs!$C$7)-(1+$C$7)^(G$27-Inputs!$C$7))/(($B35-Inputs!$C$42)-$C$7))/(1+Inputs!$C$38)^(G$27-Inputs!$C$7)</f>
        <v>1653493.1546521017</v>
      </c>
      <c r="H35" s="8">
        <f>($C$5*(1+($B35-Inputs!$C$42))^(H$27-Inputs!$C$7)+$C$6*((1+($B35-Inputs!$C$42))^(H$27-Inputs!$C$7)-(1+$C$7)^(H$27-Inputs!$C$7))/(($B35-Inputs!$C$42)-$C$7))/(1+Inputs!$C$38)^(H$27-Inputs!$C$7)</f>
        <v>1750514.6564124615</v>
      </c>
      <c r="I35" s="8">
        <f>($C$5*(1+($B35-Inputs!$C$42))^(I$27-Inputs!$C$7)+$C$6*((1+($B35-Inputs!$C$42))^(I$27-Inputs!$C$7)-(1+$C$7)^(I$27-Inputs!$C$7))/(($B35-Inputs!$C$42)-$C$7))/(1+Inputs!$C$38)^(I$27-Inputs!$C$7)</f>
        <v>1852044.9842199066</v>
      </c>
      <c r="J35" s="8">
        <f>($C$5*(1+($B35-Inputs!$C$42))^(J$27-Inputs!$C$7)+$C$6*((1+($B35-Inputs!$C$42))^(J$27-Inputs!$C$7)-(1+$C$7)^(J$27-Inputs!$C$7))/(($B35-Inputs!$C$42)-$C$7))/(1+Inputs!$C$38)^(J$27-Inputs!$C$7)</f>
        <v>1958289.2085380168</v>
      </c>
      <c r="K35" s="8">
        <f>($C$5*(1+($B35-Inputs!$C$42))^(K$27-Inputs!$C$7)+$C$6*((1+($B35-Inputs!$C$42))^(K$27-Inputs!$C$7)-(1+$C$7)^(K$27-Inputs!$C$7))/(($B35-Inputs!$C$42)-$C$7))/(1+Inputs!$C$38)^(K$27-Inputs!$C$7)</f>
        <v>2069461.7055817549</v>
      </c>
    </row>
    <row r="36" spans="2:11" x14ac:dyDescent="0.25">
      <c r="B36" s="18">
        <v>0.09</v>
      </c>
      <c r="C36" s="8">
        <f>($C$5*(1+($B36-Inputs!$C$42))^(C$27-Inputs!$C$7)+$C$6*((1+($B36-Inputs!$C$42))^(C$27-Inputs!$C$7)-(1+$C$7)^(C$27-Inputs!$C$7))/(($B36-Inputs!$C$42)-$C$7))/(1+Inputs!$C$38)^(C$27-Inputs!$C$7)</f>
        <v>1416093.4580263037</v>
      </c>
      <c r="D36" s="8">
        <f>($C$5*(1+($B36-Inputs!$C$42))^(D$27-Inputs!$C$7)+$C$6*((1+($B36-Inputs!$C$42))^(D$27-Inputs!$C$7)-(1+$C$7)^(D$27-Inputs!$C$7))/(($B36-Inputs!$C$42)-$C$7))/(1+Inputs!$C$38)^(D$27-Inputs!$C$7)</f>
        <v>1508828.6282186201</v>
      </c>
      <c r="E36" s="8">
        <f>($C$5*(1+($B36-Inputs!$C$42))^(E$27-Inputs!$C$7)+$C$6*((1+($B36-Inputs!$C$42))^(E$27-Inputs!$C$7)-(1+$C$7)^(E$27-Inputs!$C$7))/(($B36-Inputs!$C$42)-$C$7))/(1+Inputs!$C$38)^(E$27-Inputs!$C$7)</f>
        <v>1606328.468467637</v>
      </c>
      <c r="F36" s="8">
        <f>($C$5*(1+($B36-Inputs!$C$42))^(F$27-Inputs!$C$7)+$C$6*((1+($B36-Inputs!$C$42))^(F$27-Inputs!$C$7)-(1+$C$7)^(F$27-Inputs!$C$7))/(($B36-Inputs!$C$42)-$C$7))/(1+Inputs!$C$38)^(F$27-Inputs!$C$7)</f>
        <v>1708832.8880162656</v>
      </c>
      <c r="G36" s="8">
        <f>($C$5*(1+($B36-Inputs!$C$42))^(G$27-Inputs!$C$7)+$C$6*((1+($B36-Inputs!$C$42))^(G$27-Inputs!$C$7)-(1+$C$7)^(G$27-Inputs!$C$7))/(($B36-Inputs!$C$42)-$C$7))/(1+Inputs!$C$38)^(G$27-Inputs!$C$7)</f>
        <v>1816593.8525895027</v>
      </c>
      <c r="H36" s="8">
        <f>($C$5*(1+($B36-Inputs!$C$42))^(H$27-Inputs!$C$7)+$C$6*((1+($B36-Inputs!$C$42))^(H$27-Inputs!$C$7)-(1+$C$7)^(H$27-Inputs!$C$7))/(($B36-Inputs!$C$42)-$C$7))/(1+Inputs!$C$38)^(H$27-Inputs!$C$7)</f>
        <v>1929875.9901713615</v>
      </c>
      <c r="I36" s="8">
        <f>($C$5*(1+($B36-Inputs!$C$42))^(I$27-Inputs!$C$7)+$C$6*((1+($B36-Inputs!$C$42))^(I$27-Inputs!$C$7)-(1+$C$7)^(I$27-Inputs!$C$7))/(($B36-Inputs!$C$42)-$C$7))/(1+Inputs!$C$38)^(I$27-Inputs!$C$7)</f>
        <v>2048957.2272184605</v>
      </c>
      <c r="J36" s="8">
        <f>($C$5*(1+($B36-Inputs!$C$42))^(J$27-Inputs!$C$7)+$C$6*((1+($B36-Inputs!$C$42))^(J$27-Inputs!$C$7)-(1+$C$7)^(J$27-Inputs!$C$7))/(($B36-Inputs!$C$42)-$C$7))/(1+Inputs!$C$38)^(J$27-Inputs!$C$7)</f>
        <v>2174129.4568395233</v>
      </c>
      <c r="K36" s="8">
        <f>($C$5*(1+($B36-Inputs!$C$42))^(K$27-Inputs!$C$7)+$C$6*((1+($B36-Inputs!$C$42))^(K$27-Inputs!$C$7)-(1+$C$7)^(K$27-Inputs!$C$7))/(($B36-Inputs!$C$42)-$C$7))/(1+Inputs!$C$38)^(K$27-Inputs!$C$7)</f>
        <v>2305699.2405468891</v>
      </c>
    </row>
    <row r="39" spans="2:11" x14ac:dyDescent="0.25">
      <c r="B39" s="3" t="s">
        <v>265</v>
      </c>
    </row>
    <row r="40" spans="2:11" x14ac:dyDescent="0.25">
      <c r="B40" s="44" t="s">
        <v>161</v>
      </c>
      <c r="C40" s="44" t="s">
        <v>266</v>
      </c>
      <c r="D40" s="44" t="s">
        <v>267</v>
      </c>
      <c r="E40" s="44" t="s">
        <v>268</v>
      </c>
    </row>
    <row r="41" spans="2:11" x14ac:dyDescent="0.25">
      <c r="B41" s="37">
        <v>1</v>
      </c>
      <c r="C41" s="36">
        <f>($C$5*(1+(Inputs!$C$35-Inputs!$C$40))^1+$C$6*((1+(Inputs!$C$35-Inputs!$C$40))^1-(1+$C$7)^1)/((Inputs!$C$35-Inputs!$C$40)-$C$7))/(1+Inputs!$C$38)^1</f>
        <v>184122.92682926828</v>
      </c>
      <c r="D41" s="36">
        <f>($C$5*(1+(Inputs!$C$35-Inputs!$C$41))^1+$C$6*((1+(Inputs!$C$35-Inputs!$C$41))^1-(1+$C$7)^1)/((Inputs!$C$35-Inputs!$C$41)-$C$7))/(1+Inputs!$C$38)^1</f>
        <v>185215.60975609746</v>
      </c>
      <c r="E41" s="36">
        <f t="shared" ref="E41:E70" si="0">D41-C41</f>
        <v>1092.6829268291767</v>
      </c>
    </row>
    <row r="42" spans="2:11" x14ac:dyDescent="0.25">
      <c r="B42" s="37">
        <v>2</v>
      </c>
      <c r="C42" s="36">
        <f>($C$5*(1+(Inputs!$C$35-Inputs!$C$40))^2+$C$6*((1+(Inputs!$C$35-Inputs!$C$40))^2-(1+$C$7)^2)/((Inputs!$C$35-Inputs!$C$40)-$C$7))/(1+Inputs!$C$38)^2</f>
        <v>209080.87947650204</v>
      </c>
      <c r="D42" s="36">
        <f>($C$5*(1+(Inputs!$C$35-Inputs!$C$41))^2+$C$6*((1+(Inputs!$C$35-Inputs!$C$41))^2-(1+$C$7)^2)/((Inputs!$C$35-Inputs!$C$41)-$C$7))/(1+Inputs!$C$38)^2</f>
        <v>211472.02950624621</v>
      </c>
      <c r="E42" s="36">
        <f t="shared" si="0"/>
        <v>2391.1500297441671</v>
      </c>
    </row>
    <row r="43" spans="2:11" x14ac:dyDescent="0.25">
      <c r="B43" s="37">
        <v>3</v>
      </c>
      <c r="C43" s="36">
        <f>($C$5*(1+(Inputs!$C$35-Inputs!$C$40))^3+$C$6*((1+(Inputs!$C$35-Inputs!$C$40))^3-(1+$C$7)^3)/((Inputs!$C$35-Inputs!$C$40)-$C$7))/(1+Inputs!$C$38)^3</f>
        <v>234899.97672094131</v>
      </c>
      <c r="D43" s="36">
        <f>($C$5*(1+(Inputs!$C$35-Inputs!$C$41))^3+$C$6*((1+(Inputs!$C$35-Inputs!$C$41))^3-(1+$C$7)^3)/((Inputs!$C$35-Inputs!$C$41)-$C$7))/(1+Inputs!$C$38)^3</f>
        <v>238808.81009944697</v>
      </c>
      <c r="E43" s="36">
        <f t="shared" si="0"/>
        <v>3908.8333785056602</v>
      </c>
    </row>
    <row r="44" spans="2:11" x14ac:dyDescent="0.25">
      <c r="B44" s="37">
        <v>4</v>
      </c>
      <c r="C44" s="36">
        <f>($C$5*(1+(Inputs!$C$35-Inputs!$C$40))^4+$C$6*((1+(Inputs!$C$35-Inputs!$C$40))^4-(1+$C$7)^4)/((Inputs!$C$35-Inputs!$C$40)-$C$7))/(1+Inputs!$C$38)^4</f>
        <v>261607.14224582317</v>
      </c>
      <c r="D44" s="36">
        <f>($C$5*(1+(Inputs!$C$35-Inputs!$C$41))^4+$C$6*((1+(Inputs!$C$35-Inputs!$C$41))^4-(1+$C$7)^4)/((Inputs!$C$35-Inputs!$C$41)-$C$7))/(1+Inputs!$C$38)^4</f>
        <v>267266.99018249387</v>
      </c>
      <c r="E44" s="36">
        <f t="shared" si="0"/>
        <v>5659.8479366707033</v>
      </c>
    </row>
    <row r="45" spans="2:11" x14ac:dyDescent="0.25">
      <c r="B45" s="37">
        <v>5</v>
      </c>
      <c r="C45" s="36">
        <f>($C$5*(1+(Inputs!$C$35-Inputs!$C$40))^5+$C$6*((1+(Inputs!$C$35-Inputs!$C$40))^5-(1+$C$7)^5)/((Inputs!$C$35-Inputs!$C$40)-$C$7))/(1+Inputs!$C$38)^5</f>
        <v>289230.12938533077</v>
      </c>
      <c r="D45" s="36">
        <f>($C$5*(1+(Inputs!$C$35-Inputs!$C$41))^5+$C$6*((1+(Inputs!$C$35-Inputs!$C$41))^5-(1+$C$7)^5)/((Inputs!$C$35-Inputs!$C$41)-$C$7))/(1+Inputs!$C$38)^5</f>
        <v>296889.15209398448</v>
      </c>
      <c r="E45" s="36">
        <f t="shared" si="0"/>
        <v>7659.0227086537052</v>
      </c>
    </row>
    <row r="46" spans="2:11" x14ac:dyDescent="0.25">
      <c r="B46" s="37">
        <v>6</v>
      </c>
      <c r="C46" s="36">
        <f>($C$5*(1+(Inputs!$C$35-Inputs!$C$40))^6+$C$6*((1+(Inputs!$C$35-Inputs!$C$40))^6-(1+$C$7)^6)/((Inputs!$C$35-Inputs!$C$40)-$C$7))/(1+Inputs!$C$38)^6</f>
        <v>317797.54663211067</v>
      </c>
      <c r="D46" s="36">
        <f>($C$5*(1+(Inputs!$C$35-Inputs!$C$41))^6+$C$6*((1+(Inputs!$C$35-Inputs!$C$41))^6-(1+$C$7)^6)/((Inputs!$C$35-Inputs!$C$41)-$C$7))/(1+Inputs!$C$38)^6</f>
        <v>327719.47985781851</v>
      </c>
      <c r="E46" s="36">
        <f t="shared" si="0"/>
        <v>9921.9332257078495</v>
      </c>
    </row>
    <row r="47" spans="2:11" x14ac:dyDescent="0.25">
      <c r="B47" s="37">
        <v>7</v>
      </c>
      <c r="C47" s="36">
        <f>($C$5*(1+(Inputs!$C$35-Inputs!$C$40))^7+$C$6*((1+(Inputs!$C$35-Inputs!$C$40))^7-(1+$C$7)^7)/((Inputs!$C$35-Inputs!$C$40)-$C$7))/(1+Inputs!$C$38)^7</f>
        <v>347338.8839287344</v>
      </c>
      <c r="D47" s="36">
        <f>($C$5*(1+(Inputs!$C$35-Inputs!$C$41))^7+$C$6*((1+(Inputs!$C$35-Inputs!$C$41))^7-(1+$C$7)^7)/((Inputs!$C$35-Inputs!$C$41)-$C$7))/(1+Inputs!$C$38)^7</f>
        <v>359803.81935504155</v>
      </c>
      <c r="E47" s="36">
        <f t="shared" si="0"/>
        <v>12464.935426307144</v>
      </c>
    </row>
    <row r="48" spans="2:11" x14ac:dyDescent="0.25">
      <c r="B48" s="37">
        <v>8</v>
      </c>
      <c r="C48" s="36">
        <f>($C$5*(1+(Inputs!$C$35-Inputs!$C$40))^8+$C$6*((1+(Inputs!$C$35-Inputs!$C$40))^8-(1+$C$7)^8)/((Inputs!$C$35-Inputs!$C$40)-$C$7))/(1+Inputs!$C$38)^8</f>
        <v>377884.53976719291</v>
      </c>
      <c r="D48" s="36">
        <f>($C$5*(1+(Inputs!$C$35-Inputs!$C$41))^8+$C$6*((1+(Inputs!$C$35-Inputs!$C$41))^8-(1+$C$7)^8)/((Inputs!$C$35-Inputs!$C$41)-$C$7))/(1+Inputs!$C$38)^8</f>
        <v>393189.74075585534</v>
      </c>
      <c r="E48" s="36">
        <f t="shared" si="0"/>
        <v>15305.200988662429</v>
      </c>
    </row>
    <row r="49" spans="2:5" x14ac:dyDescent="0.25">
      <c r="B49" s="37">
        <v>9</v>
      </c>
      <c r="C49" s="36">
        <f>($C$5*(1+(Inputs!$C$35-Inputs!$C$40))^9+$C$6*((1+(Inputs!$C$35-Inputs!$C$40))^9-(1+$C$7)^9)/((Inputs!$C$35-Inputs!$C$40)-$C$7))/(1+Inputs!$C$38)^9</f>
        <v>409465.84912126139</v>
      </c>
      <c r="D49" s="36">
        <f>($C$5*(1+(Inputs!$C$35-Inputs!$C$41))^9+$C$6*((1+(Inputs!$C$35-Inputs!$C$41))^9-(1+$C$7)^9)/((Inputs!$C$35-Inputs!$C$41)-$C$7))/(1+Inputs!$C$38)^9</f>
        <v>427926.60329668847</v>
      </c>
      <c r="E49" s="36">
        <f t="shared" si="0"/>
        <v>18460.754175427079</v>
      </c>
    </row>
    <row r="50" spans="2:5" x14ac:dyDescent="0.25">
      <c r="B50" s="37">
        <v>10</v>
      </c>
      <c r="C50" s="36">
        <f>($C$5*(1+(Inputs!$C$35-Inputs!$C$40))^10+$C$6*((1+(Inputs!$C$35-Inputs!$C$40))^10-(1+$C$7)^10)/((Inputs!$C$35-Inputs!$C$40)-$C$7))/(1+Inputs!$C$38)^10</f>
        <v>442115.11223732453</v>
      </c>
      <c r="D50" s="36">
        <f>($C$5*(1+(Inputs!$C$35-Inputs!$C$41))^10+$C$6*((1+(Inputs!$C$35-Inputs!$C$41))^10-(1+$C$7)^10)/((Inputs!$C$35-Inputs!$C$41)-$C$7))/(1+Inputs!$C$38)^10</f>
        <v>464065.62249041279</v>
      </c>
      <c r="E50" s="36">
        <f t="shared" si="0"/>
        <v>21950.510253088258</v>
      </c>
    </row>
    <row r="51" spans="2:5" x14ac:dyDescent="0.25">
      <c r="B51" s="37">
        <v>11</v>
      </c>
      <c r="C51" s="36">
        <f>($C$5*(1+(Inputs!$C$35-Inputs!$C$40))^11+$C$6*((1+(Inputs!$C$35-Inputs!$C$40))^11-(1+$C$7)^11)/((Inputs!$C$35-Inputs!$C$40)-$C$7))/(1+Inputs!$C$38)^11</f>
        <v>475865.62431004987</v>
      </c>
      <c r="D51" s="36">
        <f>($C$5*(1+(Inputs!$C$35-Inputs!$C$41))^11+$C$6*((1+(Inputs!$C$35-Inputs!$C$41))^11-(1+$C$7)^11)/((Inputs!$C$35-Inputs!$C$41)-$C$7))/(1+Inputs!$C$38)^11</f>
        <v>501659.93986109423</v>
      </c>
      <c r="E51" s="36">
        <f t="shared" si="0"/>
        <v>25794.315551044361</v>
      </c>
    </row>
    <row r="52" spans="2:5" x14ac:dyDescent="0.25">
      <c r="B52" s="37">
        <v>12</v>
      </c>
      <c r="C52" s="36">
        <f>($C$5*(1+(Inputs!$C$35-Inputs!$C$40))^12+$C$6*((1+(Inputs!$C$35-Inputs!$C$40))^12-(1+$C$7)^12)/((Inputs!$C$35-Inputs!$C$40)-$C$7))/(1+Inputs!$C$38)^12</f>
        <v>510751.70607009786</v>
      </c>
      <c r="D52" s="36">
        <f>($C$5*(1+(Inputs!$C$35-Inputs!$C$41))^12+$C$6*((1+(Inputs!$C$35-Inputs!$C$41))^12-(1+$C$7)^12)/((Inputs!$C$35-Inputs!$C$41)-$C$7))/(1+Inputs!$C$38)^12</f>
        <v>540764.69529810385</v>
      </c>
      <c r="E52" s="36">
        <f t="shared" si="0"/>
        <v>30012.989228005987</v>
      </c>
    </row>
    <row r="53" spans="2:5" x14ac:dyDescent="0.25">
      <c r="B53" s="37">
        <v>13</v>
      </c>
      <c r="C53" s="36">
        <f>($C$5*(1+(Inputs!$C$35-Inputs!$C$40))^13+$C$6*((1+(Inputs!$C$35-Inputs!$C$40))^13-(1+$C$7)^13)/((Inputs!$C$35-Inputs!$C$40)-$C$7))/(1+Inputs!$C$38)^13</f>
        <v>546808.73531190108</v>
      </c>
      <c r="D53" s="36">
        <f>($C$5*(1+(Inputs!$C$35-Inputs!$C$41))^13+$C$6*((1+(Inputs!$C$35-Inputs!$C$41))^13-(1+$C$7)^13)/((Inputs!$C$35-Inputs!$C$41)-$C$7))/(1+Inputs!$C$38)^13</f>
        <v>581437.10212797427</v>
      </c>
      <c r="E53" s="36">
        <f t="shared" si="0"/>
        <v>34628.36681607319</v>
      </c>
    </row>
    <row r="54" spans="2:5" x14ac:dyDescent="0.25">
      <c r="B54" s="37">
        <v>14</v>
      </c>
      <c r="C54" s="36">
        <f>($C$5*(1+(Inputs!$C$35-Inputs!$C$40))^14+$C$6*((1+(Inputs!$C$35-Inputs!$C$40))^14-(1+$C$7)^14)/((Inputs!$C$35-Inputs!$C$40)-$C$7))/(1+Inputs!$C$38)^14</f>
        <v>584073.17939039937</v>
      </c>
      <c r="D54" s="36">
        <f>($C$5*(1+(Inputs!$C$35-Inputs!$C$41))^14+$C$6*((1+(Inputs!$C$35-Inputs!$C$41))^14-(1+$C$7)^14)/((Inputs!$C$35-Inputs!$C$41)-$C$7))/(1+Inputs!$C$38)^14</f>
        <v>623736.52500608435</v>
      </c>
      <c r="E54" s="36">
        <f t="shared" si="0"/>
        <v>39663.345615684986</v>
      </c>
    </row>
    <row r="55" spans="2:5" x14ac:dyDescent="0.25">
      <c r="B55" s="37">
        <v>15</v>
      </c>
      <c r="C55" s="36">
        <f>($C$5*(1+(Inputs!$C$35-Inputs!$C$40))^15+$C$6*((1+(Inputs!$C$35-Inputs!$C$40))^15-(1+$C$7)^15)/((Inputs!$C$35-Inputs!$C$40)-$C$7))/(1+Inputs!$C$38)^15</f>
        <v>622582.62871651235</v>
      </c>
      <c r="D55" s="36">
        <f>($C$5*(1+(Inputs!$C$35-Inputs!$C$41))^15+$C$6*((1+(Inputs!$C$35-Inputs!$C$41))^15-(1+$C$7)^15)/((Inputs!$C$35-Inputs!$C$41)-$C$7))/(1+Inputs!$C$38)^15</f>
        <v>667724.56073408667</v>
      </c>
      <c r="E55" s="36">
        <f t="shared" si="0"/>
        <v>45141.93201757432</v>
      </c>
    </row>
    <row r="56" spans="2:5" x14ac:dyDescent="0.25">
      <c r="B56" s="37">
        <v>16</v>
      </c>
      <c r="C56" s="36">
        <f>($C$5*(1+(Inputs!$C$35-Inputs!$C$40))^16+$C$6*((1+(Inputs!$C$35-Inputs!$C$40))^16-(1+$C$7)^16)/((Inputs!$C$35-Inputs!$C$40)-$C$7))/(1+Inputs!$C$38)^16</f>
        <v>662375.83128203941</v>
      </c>
      <c r="D56" s="36">
        <f>($C$5*(1+(Inputs!$C$35-Inputs!$C$41))^16+$C$6*((1+(Inputs!$C$35-Inputs!$C$41))^16-(1+$C$7)^16)/((Inputs!$C$35-Inputs!$C$41)-$C$7))/(1+Inputs!$C$38)^16</f>
        <v>713465.12211297196</v>
      </c>
      <c r="E56" s="36">
        <f t="shared" si="0"/>
        <v>51089.290830932558</v>
      </c>
    </row>
    <row r="57" spans="2:5" x14ac:dyDescent="0.25">
      <c r="B57" s="37">
        <v>17</v>
      </c>
      <c r="C57" s="36">
        <f>($C$5*(1+(Inputs!$C$35-Inputs!$C$40))^17+$C$6*((1+(Inputs!$C$35-Inputs!$C$40))^17-(1+$C$7)^17)/((Inputs!$C$35-Inputs!$C$40)-$C$7))/(1+Inputs!$C$38)^17</f>
        <v>703492.72824562446</v>
      </c>
      <c r="D57" s="36">
        <f>($C$5*(1+(Inputs!$C$35-Inputs!$C$41))^17+$C$6*((1+(Inputs!$C$35-Inputs!$C$41))^17-(1+$C$7)^17)/((Inputs!$C$35-Inputs!$C$41)-$C$7))/(1+Inputs!$C$38)^17</f>
        <v>761024.52494579135</v>
      </c>
      <c r="E57" s="36">
        <f t="shared" si="0"/>
        <v>57531.796700166888</v>
      </c>
    </row>
    <row r="58" spans="2:5" x14ac:dyDescent="0.25">
      <c r="B58" s="37">
        <v>18</v>
      </c>
      <c r="C58" s="36">
        <f>($C$5*(1+(Inputs!$C$35-Inputs!$C$40))^18+$C$6*((1+(Inputs!$C$35-Inputs!$C$40))^18-(1+$C$7)^18)/((Inputs!$C$35-Inputs!$C$40)-$C$7))/(1+Inputs!$C$38)^18</f>
        <v>745974.49061239662</v>
      </c>
      <c r="D58" s="36">
        <f>($C$5*(1+(Inputs!$C$35-Inputs!$C$41))^18+$C$6*((1+(Inputs!$C$35-Inputs!$C$41))^18-(1+$C$7)^18)/((Inputs!$C$35-Inputs!$C$41)-$C$7))/(1+Inputs!$C$38)^18</f>
        <v>810471.57830834494</v>
      </c>
      <c r="E58" s="36">
        <f t="shared" si="0"/>
        <v>64497.087695948314</v>
      </c>
    </row>
    <row r="59" spans="2:5" x14ac:dyDescent="0.25">
      <c r="B59" s="37">
        <v>19</v>
      </c>
      <c r="C59" s="36">
        <f>($C$5*(1+(Inputs!$C$35-Inputs!$C$40))^19+$C$6*((1+(Inputs!$C$35-Inputs!$C$40))^19-(1+$C$7)^19)/((Inputs!$C$35-Inputs!$C$40)-$C$7))/(1+Inputs!$C$38)^19</f>
        <v>789863.55704089219</v>
      </c>
      <c r="D59" s="36">
        <f>($C$5*(1+(Inputs!$C$35-Inputs!$C$41))^19+$C$6*((1+(Inputs!$C$35-Inputs!$C$41))^19-(1+$C$7)^19)/((Inputs!$C$35-Inputs!$C$41)-$C$7))/(1+Inputs!$C$38)^19</f>
        <v>861877.67821057758</v>
      </c>
      <c r="E59" s="36">
        <f t="shared" si="0"/>
        <v>72014.121169685386</v>
      </c>
    </row>
    <row r="60" spans="2:5" x14ac:dyDescent="0.25">
      <c r="B60" s="37">
        <v>20</v>
      </c>
      <c r="C60" s="36">
        <f>($C$5*(1+(Inputs!$C$35-Inputs!$C$40))^20+$C$6*((1+(Inputs!$C$35-Inputs!$C$40))^20-(1+$C$7)^20)/((Inputs!$C$35-Inputs!$C$40)-$C$7))/(1+Inputs!$C$38)^20</f>
        <v>835203.67281190713</v>
      </c>
      <c r="D60" s="36">
        <f>($C$5*(1+(Inputs!$C$35-Inputs!$C$41))^20+$C$6*((1+(Inputs!$C$35-Inputs!$C$41))^20-(1+$C$7)^20)/((Inputs!$C$35-Inputs!$C$41)-$C$7))/(1+Inputs!$C$38)^20</f>
        <v>915316.90477605024</v>
      </c>
      <c r="E60" s="36">
        <f t="shared" si="0"/>
        <v>80113.23196414311</v>
      </c>
    </row>
    <row r="61" spans="2:5" x14ac:dyDescent="0.25">
      <c r="B61" s="37">
        <v>21</v>
      </c>
      <c r="C61" s="36">
        <f>($C$5*(1+(Inputs!$C$35-Inputs!$C$40))^21+$C$6*((1+(Inputs!$C$35-Inputs!$C$40))^21-(1+$C$7)^21)/((Inputs!$C$35-Inputs!$C$40)-$C$7))/(1+Inputs!$C$38)^21</f>
        <v>882039.92999498593</v>
      </c>
      <c r="D61" s="36">
        <f>($C$5*(1+(Inputs!$C$35-Inputs!$C$41))^21+$C$6*((1+(Inputs!$C$35-Inputs!$C$41))^21-(1+$C$7)^21)/((Inputs!$C$35-Inputs!$C$41)-$C$7))/(1+Inputs!$C$38)^21</f>
        <v>970866.12307161966</v>
      </c>
      <c r="E61" s="36">
        <f t="shared" si="0"/>
        <v>88826.193076633732</v>
      </c>
    </row>
    <row r="62" spans="2:5" x14ac:dyDescent="0.25">
      <c r="B62" s="37">
        <v>22</v>
      </c>
      <c r="C62" s="36">
        <f>($C$5*(1+(Inputs!$C$35-Inputs!$C$40))^22+$C$6*((1+(Inputs!$C$35-Inputs!$C$40))^22-(1+$C$7)^22)/((Inputs!$C$35-Inputs!$C$40)-$C$7))/(1+Inputs!$C$38)^22</f>
        <v>930418.8088493495</v>
      </c>
      <c r="D62" s="36">
        <f>($C$5*(1+(Inputs!$C$35-Inputs!$C$41))^22+$C$6*((1+(Inputs!$C$35-Inputs!$C$41))^22-(1+$C$7)^22)/((Inputs!$C$35-Inputs!$C$41)-$C$7))/(1+Inputs!$C$38)^22</f>
        <v>1028605.0877244372</v>
      </c>
      <c r="E62" s="36">
        <f t="shared" si="0"/>
        <v>98186.278875087737</v>
      </c>
    </row>
    <row r="63" spans="2:5" x14ac:dyDescent="0.25">
      <c r="B63" s="37">
        <v>23</v>
      </c>
      <c r="C63" s="36">
        <f>($C$5*(1+(Inputs!$C$35-Inputs!$C$40))^23+$C$6*((1+(Inputs!$C$35-Inputs!$C$40))^23-(1+$C$7)^23)/((Inputs!$C$35-Inputs!$C$40)-$C$7))/(1+Inputs!$C$38)^23</f>
        <v>980388.22049720737</v>
      </c>
      <c r="D63" s="36">
        <f>($C$5*(1+(Inputs!$C$35-Inputs!$C$41))^23+$C$6*((1+(Inputs!$C$35-Inputs!$C$41))^23-(1+$C$7)^23)/((Inputs!$C$35-Inputs!$C$41)-$C$7))/(1+Inputs!$C$38)^23</f>
        <v>1088616.5514685251</v>
      </c>
      <c r="E63" s="36">
        <f t="shared" si="0"/>
        <v>108228.33097131772</v>
      </c>
    </row>
    <row r="64" spans="2:5" x14ac:dyDescent="0.25">
      <c r="B64" s="37">
        <v>24</v>
      </c>
      <c r="C64" s="36">
        <f>($C$5*(1+(Inputs!$C$35-Inputs!$C$40))^24+$C$6*((1+(Inputs!$C$35-Inputs!$C$40))^24-(1+$C$7)^24)/((Inputs!$C$35-Inputs!$C$40)-$C$7))/(1+Inputs!$C$38)^24</f>
        <v>1031997.5509085456</v>
      </c>
      <c r="D64" s="36">
        <f>($C$5*(1+(Inputs!$C$35-Inputs!$C$41))^24+$C$6*((1+(Inputs!$C$35-Inputs!$C$41))^24-(1+$C$7)^24)/((Inputs!$C$35-Inputs!$C$41)-$C$7))/(1+Inputs!$C$38)^24</f>
        <v>1150986.3777685231</v>
      </c>
      <c r="E64" s="36">
        <f t="shared" si="0"/>
        <v>118988.82685997745</v>
      </c>
    </row>
    <row r="65" spans="2:5" x14ac:dyDescent="0.25">
      <c r="B65" s="37">
        <v>25</v>
      </c>
      <c r="C65" s="36">
        <f>($C$5*(1+(Inputs!$C$35-Inputs!$C$40))^25+$C$6*((1+(Inputs!$C$35-Inputs!$C$40))^25-(1+$C$7)^25)/((Inputs!$C$35-Inputs!$C$40)-$C$7))/(1+Inputs!$C$38)^25</f>
        <v>1085297.7062377052</v>
      </c>
      <c r="D65" s="36">
        <f>($C$5*(1+(Inputs!$C$35-Inputs!$C$41))^25+$C$6*((1+(Inputs!$C$35-Inputs!$C$41))^25-(1+$C$7)^25)/((Inputs!$C$35-Inputs!$C$41)-$C$7))/(1+Inputs!$C$38)^25</f>
        <v>1215803.6576737501</v>
      </c>
      <c r="E65" s="36">
        <f t="shared" si="0"/>
        <v>130505.95143604488</v>
      </c>
    </row>
    <row r="66" spans="2:5" x14ac:dyDescent="0.25">
      <c r="B66" s="37">
        <v>26</v>
      </c>
      <c r="C66" s="36">
        <f>($C$5*(1+(Inputs!$C$35-Inputs!$C$40))^26+$C$6*((1+(Inputs!$C$35-Inputs!$C$40))^26-(1+$C$7)^26)/((Inputs!$C$35-Inputs!$C$40)-$C$7))/(1+Inputs!$C$38)^26</f>
        <v>1140341.1595532862</v>
      </c>
      <c r="D66" s="36">
        <f>($C$5*(1+(Inputs!$C$35-Inputs!$C$41))^26+$C$6*((1+(Inputs!$C$35-Inputs!$C$41))^26-(1+$C$7)^26)/((Inputs!$C$35-Inputs!$C$41)-$C$7))/(1+Inputs!$C$38)^26</f>
        <v>1283160.8310614787</v>
      </c>
      <c r="E66" s="36">
        <f t="shared" si="0"/>
        <v>142819.67150819255</v>
      </c>
    </row>
    <row r="67" spans="2:5" x14ac:dyDescent="0.25">
      <c r="B67" s="37">
        <v>27</v>
      </c>
      <c r="C67" s="36">
        <f>($C$5*(1+(Inputs!$C$35-Inputs!$C$40))^27+$C$6*((1+(Inputs!$C$35-Inputs!$C$40))^27-(1+$C$7)^27)/((Inputs!$C$35-Inputs!$C$40)-$C$7))/(1+Inputs!$C$38)^27</f>
        <v>1197181.9990042027</v>
      </c>
      <c r="D67" s="36">
        <f>($C$5*(1+(Inputs!$C$35-Inputs!$C$41))^27+$C$6*((1+(Inputs!$C$35-Inputs!$C$41))^27-(1+$C$7)^27)/((Inputs!$C$35-Inputs!$C$41)-$C$7))/(1+Inputs!$C$38)^27</f>
        <v>1353153.8124342866</v>
      </c>
      <c r="E67" s="36">
        <f t="shared" si="0"/>
        <v>155971.81343008392</v>
      </c>
    </row>
    <row r="68" spans="2:5" x14ac:dyDescent="0.25">
      <c r="B68" s="37">
        <v>28</v>
      </c>
      <c r="C68" s="36">
        <f>($C$5*(1+(Inputs!$C$35-Inputs!$C$40))^28+$C$6*((1+(Inputs!$C$35-Inputs!$C$40))^28-(1+$C$7)^28)/((Inputs!$C$35-Inputs!$C$40)-$C$7))/(1+Inputs!$C$38)^28</f>
        <v>1255875.9774660196</v>
      </c>
      <c r="D68" s="36">
        <f>($C$5*(1+(Inputs!$C$35-Inputs!$C$41))^28+$C$6*((1+(Inputs!$C$35-Inputs!$C$41))^28-(1+$C$7)^28)/((Inputs!$C$35-Inputs!$C$41)-$C$7))/(1+Inputs!$C$38)^28</f>
        <v>1425882.1214425308</v>
      </c>
      <c r="E68" s="36">
        <f t="shared" si="0"/>
        <v>170006.1439765112</v>
      </c>
    </row>
    <row r="69" spans="2:5" x14ac:dyDescent="0.25">
      <c r="B69" s="37">
        <v>29</v>
      </c>
      <c r="C69" s="36">
        <f>($C$5*(1+(Inputs!$C$35-Inputs!$C$40))^29+$C$6*((1+(Inputs!$C$35-Inputs!$C$40))^29-(1+$C$7)^29)/((Inputs!$C$35-Inputs!$C$40)-$C$7))/(1+Inputs!$C$38)^29</f>
        <v>1316480.5637130693</v>
      </c>
      <c r="D69" s="36">
        <f>($C$5*(1+(Inputs!$C$35-Inputs!$C$41))^29+$C$6*((1+(Inputs!$C$35-Inputs!$C$41))^29-(1+$C$7)^29)/((Inputs!$C$35-Inputs!$C$41)-$C$7))/(1+Inputs!$C$38)^29</f>
        <v>1501449.0183094412</v>
      </c>
      <c r="E69" s="36">
        <f t="shared" si="0"/>
        <v>184968.45459637186</v>
      </c>
    </row>
    <row r="70" spans="2:5" x14ac:dyDescent="0.25">
      <c r="B70" s="37">
        <v>30</v>
      </c>
      <c r="C70" s="36">
        <f>($C$5*(1+(Inputs!$C$35-Inputs!$C$40))^30+$C$6*((1+(Inputs!$C$35-Inputs!$C$40))^30-(1+$C$7)^30)/((Inputs!$C$35-Inputs!$C$40)-$C$7))/(1+Inputs!$C$38)^30</f>
        <v>1379054.9951632279</v>
      </c>
      <c r="D70" s="36">
        <f>($C$5*(1+(Inputs!$C$35-Inputs!$C$41))^30+$C$6*((1+(Inputs!$C$35-Inputs!$C$41))^30-(1+$C$7)^30)/((Inputs!$C$35-Inputs!$C$41)-$C$7))/(1+Inputs!$C$38)^30</f>
        <v>1579961.6443429675</v>
      </c>
      <c r="E70" s="36">
        <f t="shared" si="0"/>
        <v>200906.64917973964</v>
      </c>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AH221"/>
  <sheetViews>
    <sheetView showGridLines="0" zoomScaleNormal="100" workbookViewId="0">
      <selection activeCell="K7" sqref="K7"/>
    </sheetView>
  </sheetViews>
  <sheetFormatPr defaultColWidth="8.7109375" defaultRowHeight="15" x14ac:dyDescent="0.25"/>
  <cols>
    <col min="1" max="1" width="3" customWidth="1"/>
    <col min="2" max="2" width="10.5703125" customWidth="1"/>
    <col min="3" max="3" width="10.28515625" customWidth="1"/>
    <col min="4" max="5" width="11" customWidth="1"/>
    <col min="6" max="6" width="15.28515625" customWidth="1"/>
    <col min="7" max="33" width="11" customWidth="1"/>
    <col min="34" max="34" width="13" customWidth="1"/>
  </cols>
  <sheetData>
    <row r="2" spans="2:34" ht="18" x14ac:dyDescent="0.25">
      <c r="B2" s="58" t="s">
        <v>269</v>
      </c>
      <c r="C2" s="59"/>
      <c r="D2" s="59"/>
      <c r="E2" s="59"/>
      <c r="F2" s="59"/>
      <c r="G2" s="59"/>
      <c r="H2" s="59"/>
      <c r="I2" s="59"/>
      <c r="J2" s="59"/>
      <c r="K2" s="59"/>
      <c r="L2" s="59"/>
      <c r="M2" s="59"/>
    </row>
    <row r="3" spans="2:34" x14ac:dyDescent="0.25">
      <c r="B3" s="60" t="s">
        <v>270</v>
      </c>
      <c r="C3" s="59"/>
      <c r="D3" s="59"/>
      <c r="E3" s="59"/>
      <c r="F3" s="59"/>
      <c r="G3" s="59"/>
      <c r="H3" s="59"/>
      <c r="I3" s="59"/>
      <c r="J3" s="59"/>
      <c r="K3" s="59"/>
      <c r="L3" s="59"/>
      <c r="M3" s="59"/>
    </row>
    <row r="4" spans="2:34" x14ac:dyDescent="0.25">
      <c r="F4" s="3" t="s">
        <v>271</v>
      </c>
    </row>
    <row r="5" spans="2:34" ht="39" x14ac:dyDescent="0.25">
      <c r="B5" s="45" t="s">
        <v>293</v>
      </c>
      <c r="C5" s="40">
        <f>Inputs!$C$9+Inputs!$C$15</f>
        <v>160000</v>
      </c>
      <c r="F5" s="45" t="s">
        <v>301</v>
      </c>
      <c r="G5" s="36">
        <f ca="1">AVERAGE(AH17:AH216)</f>
        <v>2669472.7891687499</v>
      </c>
    </row>
    <row r="6" spans="2:34" ht="39" x14ac:dyDescent="0.25">
      <c r="B6" s="45" t="s">
        <v>295</v>
      </c>
      <c r="C6" s="40">
        <f>(Engine!K7+Engine!L7)*(1-Rules!$C$18)</f>
        <v>19686</v>
      </c>
      <c r="F6" s="45" t="s">
        <v>302</v>
      </c>
      <c r="G6" s="36">
        <f ca="1">MEDIAN(AH17:AH216)</f>
        <v>2475363.8518358902</v>
      </c>
    </row>
    <row r="7" spans="2:34" ht="43.5" customHeight="1" x14ac:dyDescent="0.25">
      <c r="B7" s="45" t="s">
        <v>296</v>
      </c>
      <c r="C7" s="41">
        <f>Inputs!$C$39</f>
        <v>0.03</v>
      </c>
      <c r="F7" s="30" t="s">
        <v>272</v>
      </c>
      <c r="G7" s="36">
        <f ca="1">PERCENTILE(AH17:AH216,0.1)</f>
        <v>1530736.8071404689</v>
      </c>
    </row>
    <row r="8" spans="2:34" ht="26.25" x14ac:dyDescent="0.25">
      <c r="B8" s="45" t="s">
        <v>297</v>
      </c>
      <c r="C8" s="41">
        <f>Inputs!$C$35-Inputs!$C$42</f>
        <v>5.6500000000000009E-2</v>
      </c>
      <c r="F8" s="30" t="s">
        <v>273</v>
      </c>
      <c r="G8" s="36">
        <f ca="1">PERCENTILE(AH17:AH216,0.9)</f>
        <v>4070250.1844811556</v>
      </c>
    </row>
    <row r="9" spans="2:34" ht="39" x14ac:dyDescent="0.25">
      <c r="B9" s="45" t="s">
        <v>298</v>
      </c>
      <c r="C9" s="41">
        <f>Inputs!$C$37</f>
        <v>0.115</v>
      </c>
      <c r="F9" s="45" t="s">
        <v>303</v>
      </c>
      <c r="G9" s="36">
        <f ca="1">MEDIAN(AH17:AH216)/(1+Inputs!$C$38)^Inputs!$C$19</f>
        <v>1209614.3997622568</v>
      </c>
    </row>
    <row r="10" spans="2:34" ht="41.25" customHeight="1" x14ac:dyDescent="0.25">
      <c r="B10" s="46" t="s">
        <v>274</v>
      </c>
      <c r="C10" s="42">
        <f>Inputs!$C$19</f>
        <v>29</v>
      </c>
      <c r="F10" s="45" t="s">
        <v>304</v>
      </c>
      <c r="G10" s="47">
        <f ca="1">COUNTIF(AH17:AH216,"&gt;="&amp;$C$11)/COUNT(AH17:AH216)</f>
        <v>0.91500000000000004</v>
      </c>
    </row>
    <row r="11" spans="2:34" ht="51.75" x14ac:dyDescent="0.25">
      <c r="B11" s="45" t="s">
        <v>299</v>
      </c>
      <c r="C11" s="40">
        <f>Rules!$C$26*(1+Inputs!$C$38)^Inputs!$C$19</f>
        <v>1493877.3977850787</v>
      </c>
      <c r="F11" s="45" t="s">
        <v>305</v>
      </c>
      <c r="G11" s="47">
        <f ca="1">COUNTIF(AH17:AH216,"&gt;="&amp;$C$12)/COUNT(AH17:AH216)</f>
        <v>5.0000000000000001E-3</v>
      </c>
    </row>
    <row r="12" spans="2:34" ht="64.5" x14ac:dyDescent="0.25">
      <c r="B12" s="45" t="s">
        <v>300</v>
      </c>
      <c r="C12" s="40">
        <f>(Inputs!$C$8+Inputs!$C$14)*Rules!$C$28/Rules!$C$29*(1+Inputs!$C$38)^Inputs!$C$19</f>
        <v>6911740.973998771</v>
      </c>
    </row>
    <row r="15" spans="2:34" x14ac:dyDescent="0.25">
      <c r="B15" s="3" t="s">
        <v>275</v>
      </c>
    </row>
    <row r="16" spans="2:34" x14ac:dyDescent="0.25">
      <c r="B16" s="20" t="s">
        <v>276</v>
      </c>
      <c r="D16" s="15">
        <v>1</v>
      </c>
      <c r="E16" s="15">
        <v>2</v>
      </c>
      <c r="F16" s="15">
        <v>3</v>
      </c>
      <c r="G16" s="15">
        <v>4</v>
      </c>
      <c r="H16" s="15">
        <v>5</v>
      </c>
      <c r="I16" s="15">
        <v>6</v>
      </c>
      <c r="J16" s="15">
        <v>7</v>
      </c>
      <c r="K16" s="15">
        <v>8</v>
      </c>
      <c r="L16" s="15">
        <v>9</v>
      </c>
      <c r="M16" s="15">
        <v>10</v>
      </c>
      <c r="N16" s="15">
        <v>11</v>
      </c>
      <c r="O16" s="15">
        <v>12</v>
      </c>
      <c r="P16" s="15">
        <v>13</v>
      </c>
      <c r="Q16" s="15">
        <v>14</v>
      </c>
      <c r="R16" s="15">
        <v>15</v>
      </c>
      <c r="S16" s="15">
        <v>16</v>
      </c>
      <c r="T16" s="15">
        <v>17</v>
      </c>
      <c r="U16" s="15">
        <v>18</v>
      </c>
      <c r="V16" s="15">
        <v>19</v>
      </c>
      <c r="W16" s="15">
        <v>20</v>
      </c>
      <c r="X16" s="15">
        <v>21</v>
      </c>
      <c r="Y16" s="15">
        <v>22</v>
      </c>
      <c r="Z16" s="15">
        <v>23</v>
      </c>
      <c r="AA16" s="15">
        <v>24</v>
      </c>
      <c r="AB16" s="15">
        <v>25</v>
      </c>
      <c r="AC16" s="15">
        <v>26</v>
      </c>
      <c r="AD16" s="15">
        <v>27</v>
      </c>
      <c r="AE16" s="15">
        <v>28</v>
      </c>
      <c r="AF16" s="15">
        <v>29</v>
      </c>
      <c r="AG16" s="15">
        <v>30</v>
      </c>
      <c r="AH16" s="20" t="s">
        <v>277</v>
      </c>
    </row>
    <row r="17" spans="2:34" x14ac:dyDescent="0.25">
      <c r="B17" s="6">
        <v>1</v>
      </c>
      <c r="D17" s="12">
        <f t="shared" ref="D17:D48" ca="1" si="0">$C$5*(1+NORMINV(RAND(),$C$8,$C$9))+$C$6</f>
        <v>211157.89883444589</v>
      </c>
      <c r="E17" s="12">
        <f t="shared" ref="E17:E48" ca="1" si="1">D17*(1+NORMINV(RAND(),$C$8,$C$9))+$C$6*(1+$C$7)^1</f>
        <v>199828.7571320305</v>
      </c>
      <c r="F17" s="12">
        <f t="shared" ref="F17:F48" ca="1" si="2">E17*(1+NORMINV(RAND(),$C$8,$C$9))+$C$6*(1+$C$7)^2</f>
        <v>277888.45815050427</v>
      </c>
      <c r="G17" s="12">
        <f t="shared" ref="G17:G48" ca="1" si="3">F17*(1+NORMINV(RAND(),$C$8,$C$9))+$C$6*(1+$C$7)^3</f>
        <v>330834.53230332298</v>
      </c>
      <c r="H17" s="12">
        <f t="shared" ref="H17:H48" ca="1" si="4">G17*(1+NORMINV(RAND(),$C$8,$C$9))+$C$6*(1+$C$7)^4</f>
        <v>365714.5704493465</v>
      </c>
      <c r="I17" s="12">
        <f t="shared" ref="I17:I48" ca="1" si="5">H17*(1+NORMINV(RAND(),$C$8,$C$9))+$C$6*(1+$C$7)^5</f>
        <v>426374.87160469388</v>
      </c>
      <c r="J17" s="12">
        <f t="shared" ref="J17:J48" ca="1" si="6">I17*(1+NORMINV(RAND(),$C$8,$C$9))+$C$6*(1+$C$7)^6</f>
        <v>468687.01978799712</v>
      </c>
      <c r="K17" s="12">
        <f t="shared" ref="K17:K48" ca="1" si="7">J17*(1+NORMINV(RAND(),$C$8,$C$9))+$C$6*(1+$C$7)^7</f>
        <v>489076.67162899196</v>
      </c>
      <c r="L17" s="12">
        <f t="shared" ref="L17:L48" ca="1" si="8">K17*(1+NORMINV(RAND(),$C$8,$C$9))+$C$6*(1+$C$7)^8</f>
        <v>504906.78496548178</v>
      </c>
      <c r="M17" s="12">
        <f t="shared" ref="M17:M48" ca="1" si="9">L17*(1+NORMINV(RAND(),$C$8,$C$9))+$C$6*(1+$C$7)^9</f>
        <v>619108.50495679351</v>
      </c>
      <c r="N17" s="12">
        <f t="shared" ref="N17:N48" ca="1" si="10">M17*(1+NORMINV(RAND(),$C$8,$C$9))+$C$6*(1+$C$7)^10</f>
        <v>777315.23206868605</v>
      </c>
      <c r="O17" s="12">
        <f t="shared" ref="O17:O48" ca="1" si="11">N17*(1+NORMINV(RAND(),$C$8,$C$9))+$C$6*(1+$C$7)^11</f>
        <v>745867.64494901698</v>
      </c>
      <c r="P17" s="12">
        <f t="shared" ref="P17:P48" ca="1" si="12">O17*(1+NORMINV(RAND(),$C$8,$C$9))+$C$6*(1+$C$7)^12</f>
        <v>672661.42146658222</v>
      </c>
      <c r="Q17" s="12">
        <f t="shared" ref="Q17:Q48" ca="1" si="13">P17*(1+NORMINV(RAND(),$C$8,$C$9))+$C$6*(1+$C$7)^13</f>
        <v>717375.14650871244</v>
      </c>
      <c r="R17" s="12">
        <f t="shared" ref="R17:R48" ca="1" si="14">Q17*(1+NORMINV(RAND(),$C$8,$C$9))+$C$6*(1+$C$7)^14</f>
        <v>675711.89197288465</v>
      </c>
      <c r="S17" s="12">
        <f t="shared" ref="S17:S48" ca="1" si="15">R17*(1+NORMINV(RAND(),$C$8,$C$9))+$C$6*(1+$C$7)^15</f>
        <v>929573.75724573177</v>
      </c>
      <c r="T17" s="12">
        <f t="shared" ref="T17:T48" ca="1" si="16">S17*(1+NORMINV(RAND(),$C$8,$C$9))+$C$6*(1+$C$7)^16</f>
        <v>950197.27025320393</v>
      </c>
      <c r="U17" s="12">
        <f t="shared" ref="U17:U48" ca="1" si="17">T17*(1+NORMINV(RAND(),$C$8,$C$9))+$C$6*(1+$C$7)^17</f>
        <v>1041939.64376915</v>
      </c>
      <c r="V17" s="12">
        <f t="shared" ref="V17:V48" ca="1" si="18">U17*(1+NORMINV(RAND(),$C$8,$C$9))+$C$6*(1+$C$7)^18</f>
        <v>997838.11373531667</v>
      </c>
      <c r="W17" s="12">
        <f t="shared" ref="W17:W48" ca="1" si="19">V17*(1+NORMINV(RAND(),$C$8,$C$9))+$C$6*(1+$C$7)^19</f>
        <v>1092880.3061252565</v>
      </c>
      <c r="X17" s="12">
        <f t="shared" ref="X17:X48" ca="1" si="20">W17*(1+NORMINV(RAND(),$C$8,$C$9))+$C$6*(1+$C$7)^20</f>
        <v>1178592.0103452455</v>
      </c>
      <c r="Y17" s="12">
        <f t="shared" ref="Y17:Y48" ca="1" si="21">X17*(1+NORMINV(RAND(),$C$8,$C$9))+$C$6*(1+$C$7)^21</f>
        <v>1459319.7410917378</v>
      </c>
      <c r="Z17" s="12">
        <f t="shared" ref="Z17:Z48" ca="1" si="22">Y17*(1+NORMINV(RAND(),$C$8,$C$9))+$C$6*(1+$C$7)^22</f>
        <v>1703252.935675049</v>
      </c>
      <c r="AA17" s="12">
        <f t="shared" ref="AA17:AA48" ca="1" si="23">Z17*(1+NORMINV(RAND(),$C$8,$C$9))+$C$6*(1+$C$7)^23</f>
        <v>2108479.4598888662</v>
      </c>
      <c r="AB17" s="12">
        <f t="shared" ref="AB17:AB48" ca="1" si="24">AA17*(1+NORMINV(RAND(),$C$8,$C$9))+$C$6*(1+$C$7)^24</f>
        <v>2243826.3325852393</v>
      </c>
      <c r="AC17" s="12">
        <f t="shared" ref="AC17:AC48" ca="1" si="25">AB17*(1+NORMINV(RAND(),$C$8,$C$9))+$C$6*(1+$C$7)^25</f>
        <v>1864387.7598587063</v>
      </c>
      <c r="AD17" s="12">
        <f t="shared" ref="AD17:AD48" ca="1" si="26">AC17*(1+NORMINV(RAND(),$C$8,$C$9))+$C$6*(1+$C$7)^26</f>
        <v>1680826.5557441039</v>
      </c>
      <c r="AE17" s="12">
        <f t="shared" ref="AE17:AE48" ca="1" si="27">AD17*(1+NORMINV(RAND(),$C$8,$C$9))+$C$6*(1+$C$7)^27</f>
        <v>1617590.7881815326</v>
      </c>
      <c r="AF17" s="12">
        <f t="shared" ref="AF17:AF48" ca="1" si="28">AE17*(1+NORMINV(RAND(),$C$8,$C$9))+$C$6*(1+$C$7)^28</f>
        <v>1533654.724776549</v>
      </c>
      <c r="AG17" s="12">
        <f t="shared" ref="AG17:AG48" ca="1" si="29">AF17*(1+NORMINV(RAND(),$C$8,$C$9))+$C$6*(1+$C$7)^29</f>
        <v>1596238.0434377131</v>
      </c>
      <c r="AH17" s="12">
        <f t="shared" ref="AH17:AH48" ca="1" si="30">AG17</f>
        <v>1596238.0434377131</v>
      </c>
    </row>
    <row r="18" spans="2:34" x14ac:dyDescent="0.25">
      <c r="B18" s="6">
        <v>2</v>
      </c>
      <c r="D18" s="12">
        <f t="shared" ca="1" si="0"/>
        <v>183573.11183153221</v>
      </c>
      <c r="E18" s="12">
        <f t="shared" ca="1" si="1"/>
        <v>179084.2991662898</v>
      </c>
      <c r="F18" s="12">
        <f t="shared" ca="1" si="2"/>
        <v>209008.8667976596</v>
      </c>
      <c r="G18" s="12">
        <f t="shared" ca="1" si="3"/>
        <v>187271.68118343898</v>
      </c>
      <c r="H18" s="12">
        <f t="shared" ca="1" si="4"/>
        <v>257224.87130888691</v>
      </c>
      <c r="I18" s="12">
        <f t="shared" ca="1" si="5"/>
        <v>264774.07200355292</v>
      </c>
      <c r="J18" s="12">
        <f t="shared" ca="1" si="6"/>
        <v>289516.50053883088</v>
      </c>
      <c r="K18" s="12">
        <f t="shared" ca="1" si="7"/>
        <v>328216.99543307576</v>
      </c>
      <c r="L18" s="12">
        <f t="shared" ca="1" si="8"/>
        <v>378155.71970533568</v>
      </c>
      <c r="M18" s="12">
        <f t="shared" ca="1" si="9"/>
        <v>461155.71609278378</v>
      </c>
      <c r="N18" s="12">
        <f t="shared" ca="1" si="10"/>
        <v>491017.82103096851</v>
      </c>
      <c r="O18" s="12">
        <f t="shared" ca="1" si="11"/>
        <v>553212.06739883416</v>
      </c>
      <c r="P18" s="12">
        <f t="shared" ca="1" si="12"/>
        <v>634426.57195011387</v>
      </c>
      <c r="Q18" s="12">
        <f t="shared" ca="1" si="13"/>
        <v>679782.04003492114</v>
      </c>
      <c r="R18" s="12">
        <f t="shared" ca="1" si="14"/>
        <v>805532.26780449913</v>
      </c>
      <c r="S18" s="12">
        <f t="shared" ca="1" si="15"/>
        <v>837813.49341966666</v>
      </c>
      <c r="T18" s="12">
        <f t="shared" ca="1" si="16"/>
        <v>1004972.8849038909</v>
      </c>
      <c r="U18" s="12">
        <f t="shared" ca="1" si="17"/>
        <v>1242031.4576260755</v>
      </c>
      <c r="V18" s="12">
        <f t="shared" ca="1" si="18"/>
        <v>1277297.4622435032</v>
      </c>
      <c r="W18" s="12">
        <f t="shared" ca="1" si="19"/>
        <v>1136490.450846168</v>
      </c>
      <c r="X18" s="12">
        <f t="shared" ca="1" si="20"/>
        <v>1398471.8919336901</v>
      </c>
      <c r="Y18" s="12">
        <f t="shared" ca="1" si="21"/>
        <v>1480035.1351806358</v>
      </c>
      <c r="Z18" s="12">
        <f t="shared" ca="1" si="22"/>
        <v>1292760.5784665633</v>
      </c>
      <c r="AA18" s="12">
        <f t="shared" ca="1" si="23"/>
        <v>1470910.7518110282</v>
      </c>
      <c r="AB18" s="12">
        <f t="shared" ca="1" si="24"/>
        <v>1722121.7390646106</v>
      </c>
      <c r="AC18" s="12">
        <f t="shared" ca="1" si="25"/>
        <v>1496492.7956538475</v>
      </c>
      <c r="AD18" s="12">
        <f t="shared" ca="1" si="26"/>
        <v>1967050.2555518777</v>
      </c>
      <c r="AE18" s="12">
        <f t="shared" ca="1" si="27"/>
        <v>2146836.2562441635</v>
      </c>
      <c r="AF18" s="12">
        <f t="shared" ca="1" si="28"/>
        <v>2275540.5616077916</v>
      </c>
      <c r="AG18" s="12">
        <f t="shared" ca="1" si="29"/>
        <v>2003064.0094938087</v>
      </c>
      <c r="AH18" s="12">
        <f t="shared" ca="1" si="30"/>
        <v>2003064.0094938087</v>
      </c>
    </row>
    <row r="19" spans="2:34" x14ac:dyDescent="0.25">
      <c r="B19" s="6">
        <v>3</v>
      </c>
      <c r="D19" s="12">
        <f t="shared" ca="1" si="0"/>
        <v>182695.75445510005</v>
      </c>
      <c r="E19" s="12">
        <f t="shared" ca="1" si="1"/>
        <v>205018.63352896174</v>
      </c>
      <c r="F19" s="12">
        <f t="shared" ca="1" si="2"/>
        <v>269753.39248198783</v>
      </c>
      <c r="G19" s="12">
        <f t="shared" ca="1" si="3"/>
        <v>296347.98179113725</v>
      </c>
      <c r="H19" s="12">
        <f t="shared" ca="1" si="4"/>
        <v>311560.11675736617</v>
      </c>
      <c r="I19" s="12">
        <f t="shared" ca="1" si="5"/>
        <v>296295.85765160469</v>
      </c>
      <c r="J19" s="12">
        <f t="shared" ca="1" si="6"/>
        <v>390500.98026165739</v>
      </c>
      <c r="K19" s="12">
        <f t="shared" ca="1" si="7"/>
        <v>416252.79107985389</v>
      </c>
      <c r="L19" s="12">
        <f t="shared" ca="1" si="8"/>
        <v>484404.18324111507</v>
      </c>
      <c r="M19" s="12">
        <f t="shared" ca="1" si="9"/>
        <v>585701.40891245496</v>
      </c>
      <c r="N19" s="12">
        <f t="shared" ca="1" si="10"/>
        <v>552366.97994533938</v>
      </c>
      <c r="O19" s="12">
        <f t="shared" ca="1" si="11"/>
        <v>531278.31986913271</v>
      </c>
      <c r="P19" s="12">
        <f t="shared" ca="1" si="12"/>
        <v>495034.45694421401</v>
      </c>
      <c r="Q19" s="12">
        <f t="shared" ca="1" si="13"/>
        <v>503904.79698029585</v>
      </c>
      <c r="R19" s="12">
        <f t="shared" ca="1" si="14"/>
        <v>524078.45969585527</v>
      </c>
      <c r="S19" s="12">
        <f t="shared" ca="1" si="15"/>
        <v>593692.16590433044</v>
      </c>
      <c r="T19" s="12">
        <f t="shared" ca="1" si="16"/>
        <v>665543.29463443381</v>
      </c>
      <c r="U19" s="12">
        <f t="shared" ca="1" si="17"/>
        <v>727041.7136261306</v>
      </c>
      <c r="V19" s="12">
        <f t="shared" ca="1" si="18"/>
        <v>806813.20073901489</v>
      </c>
      <c r="W19" s="12">
        <f t="shared" ca="1" si="19"/>
        <v>931832.70810777496</v>
      </c>
      <c r="X19" s="12">
        <f t="shared" ca="1" si="20"/>
        <v>1001696.3991079053</v>
      </c>
      <c r="Y19" s="12">
        <f t="shared" ca="1" si="21"/>
        <v>1207843.9787602581</v>
      </c>
      <c r="Z19" s="12">
        <f t="shared" ca="1" si="22"/>
        <v>1077120.2525562297</v>
      </c>
      <c r="AA19" s="12">
        <f t="shared" ca="1" si="23"/>
        <v>1283709.1213284791</v>
      </c>
      <c r="AB19" s="12">
        <f t="shared" ca="1" si="24"/>
        <v>1119162.3471714749</v>
      </c>
      <c r="AC19" s="12">
        <f t="shared" ca="1" si="25"/>
        <v>1464320.5957097425</v>
      </c>
      <c r="AD19" s="12">
        <f t="shared" ca="1" si="26"/>
        <v>1726213.5317946125</v>
      </c>
      <c r="AE19" s="12">
        <f t="shared" ca="1" si="27"/>
        <v>1767985.4292490548</v>
      </c>
      <c r="AF19" s="12">
        <f t="shared" ca="1" si="28"/>
        <v>1775309.5067620806</v>
      </c>
      <c r="AG19" s="12">
        <f t="shared" ca="1" si="29"/>
        <v>1773794.6380281793</v>
      </c>
      <c r="AH19" s="12">
        <f t="shared" ca="1" si="30"/>
        <v>1773794.6380281793</v>
      </c>
    </row>
    <row r="20" spans="2:34" x14ac:dyDescent="0.25">
      <c r="B20" s="6">
        <v>4</v>
      </c>
      <c r="D20" s="12">
        <f t="shared" ca="1" si="0"/>
        <v>177742.81681528207</v>
      </c>
      <c r="E20" s="12">
        <f t="shared" ca="1" si="1"/>
        <v>220143.64322623593</v>
      </c>
      <c r="F20" s="12">
        <f t="shared" ca="1" si="2"/>
        <v>291068.38847951283</v>
      </c>
      <c r="G20" s="12">
        <f t="shared" ca="1" si="3"/>
        <v>305689.14823197364</v>
      </c>
      <c r="H20" s="12">
        <f t="shared" ca="1" si="4"/>
        <v>389383.32531818736</v>
      </c>
      <c r="I20" s="12">
        <f t="shared" ca="1" si="5"/>
        <v>415000.36073217931</v>
      </c>
      <c r="J20" s="12">
        <f t="shared" ca="1" si="6"/>
        <v>502059.11129870813</v>
      </c>
      <c r="K20" s="12">
        <f t="shared" ca="1" si="7"/>
        <v>597063.59275917045</v>
      </c>
      <c r="L20" s="12">
        <f t="shared" ca="1" si="8"/>
        <v>715051.20204056555</v>
      </c>
      <c r="M20" s="12">
        <f t="shared" ca="1" si="9"/>
        <v>664962.22927991324</v>
      </c>
      <c r="N20" s="12">
        <f t="shared" ca="1" si="10"/>
        <v>674492.19868970534</v>
      </c>
      <c r="O20" s="12">
        <f t="shared" ca="1" si="11"/>
        <v>766418.06768483901</v>
      </c>
      <c r="P20" s="12">
        <f t="shared" ca="1" si="12"/>
        <v>897721.48627175763</v>
      </c>
      <c r="Q20" s="12">
        <f t="shared" ca="1" si="13"/>
        <v>950452.10967486538</v>
      </c>
      <c r="R20" s="12">
        <f t="shared" ca="1" si="14"/>
        <v>1035363.5248298249</v>
      </c>
      <c r="S20" s="12">
        <f t="shared" ca="1" si="15"/>
        <v>1245201.5518499999</v>
      </c>
      <c r="T20" s="12">
        <f t="shared" ca="1" si="16"/>
        <v>1171922.1730643606</v>
      </c>
      <c r="U20" s="12">
        <f t="shared" ca="1" si="17"/>
        <v>1381377.7042093156</v>
      </c>
      <c r="V20" s="12">
        <f t="shared" ca="1" si="18"/>
        <v>1645016.6206298778</v>
      </c>
      <c r="W20" s="12">
        <f t="shared" ca="1" si="19"/>
        <v>1969338.7828917226</v>
      </c>
      <c r="X20" s="12">
        <f t="shared" ca="1" si="20"/>
        <v>2053793.1914723509</v>
      </c>
      <c r="Y20" s="12">
        <f t="shared" ca="1" si="21"/>
        <v>2211250.1011272743</v>
      </c>
      <c r="Z20" s="12">
        <f t="shared" ca="1" si="22"/>
        <v>2409765.3807157674</v>
      </c>
      <c r="AA20" s="12">
        <f t="shared" ca="1" si="23"/>
        <v>2930460.9890045188</v>
      </c>
      <c r="AB20" s="12">
        <f t="shared" ca="1" si="24"/>
        <v>2503470.6238592393</v>
      </c>
      <c r="AC20" s="12">
        <f t="shared" ca="1" si="25"/>
        <v>2916314.7129529878</v>
      </c>
      <c r="AD20" s="12">
        <f t="shared" ca="1" si="26"/>
        <v>3430412.0394165688</v>
      </c>
      <c r="AE20" s="12">
        <f t="shared" ca="1" si="27"/>
        <v>3923094.8238652167</v>
      </c>
      <c r="AF20" s="12">
        <f t="shared" ca="1" si="28"/>
        <v>3433671.7365811327</v>
      </c>
      <c r="AG20" s="12">
        <f t="shared" ca="1" si="29"/>
        <v>3882606.5427751769</v>
      </c>
      <c r="AH20" s="12">
        <f t="shared" ca="1" si="30"/>
        <v>3882606.5427751769</v>
      </c>
    </row>
    <row r="21" spans="2:34" x14ac:dyDescent="0.25">
      <c r="B21" s="6">
        <v>5</v>
      </c>
      <c r="D21" s="12">
        <f t="shared" ca="1" si="0"/>
        <v>209007.04382510134</v>
      </c>
      <c r="E21" s="12">
        <f t="shared" ca="1" si="1"/>
        <v>208043.8266424709</v>
      </c>
      <c r="F21" s="12">
        <f t="shared" ca="1" si="2"/>
        <v>276454.86923381197</v>
      </c>
      <c r="G21" s="12">
        <f t="shared" ca="1" si="3"/>
        <v>314857.55591656727</v>
      </c>
      <c r="H21" s="12">
        <f t="shared" ca="1" si="4"/>
        <v>351151.43176342919</v>
      </c>
      <c r="I21" s="12">
        <f t="shared" ca="1" si="5"/>
        <v>346131.56937303254</v>
      </c>
      <c r="J21" s="12">
        <f t="shared" ca="1" si="6"/>
        <v>398974.19842758693</v>
      </c>
      <c r="K21" s="12">
        <f t="shared" ca="1" si="7"/>
        <v>503111.18144800543</v>
      </c>
      <c r="L21" s="12">
        <f t="shared" ca="1" si="8"/>
        <v>578210.27943863894</v>
      </c>
      <c r="M21" s="12">
        <f t="shared" ca="1" si="9"/>
        <v>623644.19140467967</v>
      </c>
      <c r="N21" s="12">
        <f t="shared" ca="1" si="10"/>
        <v>738923.90075481869</v>
      </c>
      <c r="O21" s="12">
        <f t="shared" ca="1" si="11"/>
        <v>839347.98285864026</v>
      </c>
      <c r="P21" s="12">
        <f t="shared" ca="1" si="12"/>
        <v>826193.03151717619</v>
      </c>
      <c r="Q21" s="12">
        <f t="shared" ca="1" si="13"/>
        <v>839618.04268419358</v>
      </c>
      <c r="R21" s="12">
        <f t="shared" ca="1" si="14"/>
        <v>740711.87564313808</v>
      </c>
      <c r="S21" s="12">
        <f t="shared" ca="1" si="15"/>
        <v>838661.06364721246</v>
      </c>
      <c r="T21" s="12">
        <f t="shared" ca="1" si="16"/>
        <v>779571.86070057412</v>
      </c>
      <c r="U21" s="12">
        <f t="shared" ca="1" si="17"/>
        <v>830852.66689158278</v>
      </c>
      <c r="V21" s="12">
        <f t="shared" ca="1" si="18"/>
        <v>909366.46356804448</v>
      </c>
      <c r="W21" s="12">
        <f t="shared" ca="1" si="19"/>
        <v>1013117.974634683</v>
      </c>
      <c r="X21" s="12">
        <f t="shared" ca="1" si="20"/>
        <v>1031940.9402686683</v>
      </c>
      <c r="Y21" s="12">
        <f t="shared" ca="1" si="21"/>
        <v>1048328.7179361093</v>
      </c>
      <c r="Z21" s="12">
        <f t="shared" ca="1" si="22"/>
        <v>1066701.6826169933</v>
      </c>
      <c r="AA21" s="12">
        <f t="shared" ca="1" si="23"/>
        <v>1142139.8195627341</v>
      </c>
      <c r="AB21" s="12">
        <f t="shared" ca="1" si="24"/>
        <v>1387602.1661635176</v>
      </c>
      <c r="AC21" s="12">
        <f t="shared" ca="1" si="25"/>
        <v>1707220.4898789991</v>
      </c>
      <c r="AD21" s="12">
        <f t="shared" ca="1" si="26"/>
        <v>1841272.4345841729</v>
      </c>
      <c r="AE21" s="12">
        <f t="shared" ca="1" si="27"/>
        <v>2002106.8612638097</v>
      </c>
      <c r="AF21" s="12">
        <f t="shared" ca="1" si="28"/>
        <v>2312306.7799055958</v>
      </c>
      <c r="AG21" s="12">
        <f t="shared" ca="1" si="29"/>
        <v>2090999.2333388685</v>
      </c>
      <c r="AH21" s="12">
        <f t="shared" ca="1" si="30"/>
        <v>2090999.2333388685</v>
      </c>
    </row>
    <row r="22" spans="2:34" x14ac:dyDescent="0.25">
      <c r="B22" s="6">
        <v>6</v>
      </c>
      <c r="D22" s="12">
        <f t="shared" ca="1" si="0"/>
        <v>183434.15936546959</v>
      </c>
      <c r="E22" s="12">
        <f t="shared" ca="1" si="1"/>
        <v>205477.18075292418</v>
      </c>
      <c r="F22" s="12">
        <f t="shared" ca="1" si="2"/>
        <v>230479.86349085261</v>
      </c>
      <c r="G22" s="12">
        <f t="shared" ca="1" si="3"/>
        <v>272643.2589788597</v>
      </c>
      <c r="H22" s="12">
        <f t="shared" ca="1" si="4"/>
        <v>315299.50097421702</v>
      </c>
      <c r="I22" s="12">
        <f t="shared" ca="1" si="5"/>
        <v>360602.06114142016</v>
      </c>
      <c r="J22" s="12">
        <f t="shared" ca="1" si="6"/>
        <v>335910.78230394406</v>
      </c>
      <c r="K22" s="12">
        <f t="shared" ca="1" si="7"/>
        <v>356292.45393494982</v>
      </c>
      <c r="L22" s="12">
        <f t="shared" ca="1" si="8"/>
        <v>365419.19428713695</v>
      </c>
      <c r="M22" s="12">
        <f t="shared" ca="1" si="9"/>
        <v>383799.01007191883</v>
      </c>
      <c r="N22" s="12">
        <f t="shared" ca="1" si="10"/>
        <v>408987.50475540757</v>
      </c>
      <c r="O22" s="12">
        <f t="shared" ca="1" si="11"/>
        <v>544296.39720665582</v>
      </c>
      <c r="P22" s="12">
        <f t="shared" ca="1" si="12"/>
        <v>549532.76296554971</v>
      </c>
      <c r="Q22" s="12">
        <f t="shared" ca="1" si="13"/>
        <v>672617.58775006176</v>
      </c>
      <c r="R22" s="12">
        <f t="shared" ca="1" si="14"/>
        <v>752968.12117800477</v>
      </c>
      <c r="S22" s="12">
        <f t="shared" ca="1" si="15"/>
        <v>831291.77605471737</v>
      </c>
      <c r="T22" s="12">
        <f t="shared" ca="1" si="16"/>
        <v>933904.47717228823</v>
      </c>
      <c r="U22" s="12">
        <f t="shared" ca="1" si="17"/>
        <v>992134.8148930514</v>
      </c>
      <c r="V22" s="12">
        <f t="shared" ca="1" si="18"/>
        <v>1258610.9836329329</v>
      </c>
      <c r="W22" s="12">
        <f t="shared" ca="1" si="19"/>
        <v>1627197.6619307618</v>
      </c>
      <c r="X22" s="12">
        <f t="shared" ca="1" si="20"/>
        <v>1489323.509964098</v>
      </c>
      <c r="Y22" s="12">
        <f t="shared" ca="1" si="21"/>
        <v>1718902.127446248</v>
      </c>
      <c r="Z22" s="12">
        <f t="shared" ca="1" si="22"/>
        <v>1926814.745507607</v>
      </c>
      <c r="AA22" s="12">
        <f t="shared" ca="1" si="23"/>
        <v>2221067.9216789864</v>
      </c>
      <c r="AB22" s="12">
        <f t="shared" ca="1" si="24"/>
        <v>2646354.0097601698</v>
      </c>
      <c r="AC22" s="12">
        <f t="shared" ca="1" si="25"/>
        <v>2602517.5846371739</v>
      </c>
      <c r="AD22" s="12">
        <f t="shared" ca="1" si="26"/>
        <v>2658725.9599135397</v>
      </c>
      <c r="AE22" s="12">
        <f t="shared" ca="1" si="27"/>
        <v>2913554.7140320386</v>
      </c>
      <c r="AF22" s="12">
        <f t="shared" ca="1" si="28"/>
        <v>3434634.2525159945</v>
      </c>
      <c r="AG22" s="12">
        <f t="shared" ca="1" si="29"/>
        <v>3906681.5713747963</v>
      </c>
      <c r="AH22" s="12">
        <f t="shared" ca="1" si="30"/>
        <v>3906681.5713747963</v>
      </c>
    </row>
    <row r="23" spans="2:34" x14ac:dyDescent="0.25">
      <c r="B23" s="6">
        <v>7</v>
      </c>
      <c r="D23" s="12">
        <f t="shared" ca="1" si="0"/>
        <v>187608.06260304074</v>
      </c>
      <c r="E23" s="12">
        <f t="shared" ca="1" si="1"/>
        <v>196567.55977955245</v>
      </c>
      <c r="F23" s="12">
        <f t="shared" ca="1" si="2"/>
        <v>187767.37229375538</v>
      </c>
      <c r="G23" s="12">
        <f t="shared" ca="1" si="3"/>
        <v>219604.36617374347</v>
      </c>
      <c r="H23" s="12">
        <f t="shared" ca="1" si="4"/>
        <v>246490.33862354612</v>
      </c>
      <c r="I23" s="12">
        <f t="shared" ca="1" si="5"/>
        <v>283964.19440533622</v>
      </c>
      <c r="J23" s="12">
        <f t="shared" ca="1" si="6"/>
        <v>337364.41441519529</v>
      </c>
      <c r="K23" s="12">
        <f t="shared" ca="1" si="7"/>
        <v>381057.1520079386</v>
      </c>
      <c r="L23" s="12">
        <f t="shared" ca="1" si="8"/>
        <v>467201.88648798841</v>
      </c>
      <c r="M23" s="12">
        <f t="shared" ca="1" si="9"/>
        <v>561057.72197696648</v>
      </c>
      <c r="N23" s="12">
        <f t="shared" ca="1" si="10"/>
        <v>620950.7908159818</v>
      </c>
      <c r="O23" s="12">
        <f t="shared" ca="1" si="11"/>
        <v>593570.25050702761</v>
      </c>
      <c r="P23" s="12">
        <f t="shared" ca="1" si="12"/>
        <v>721148.24579829245</v>
      </c>
      <c r="Q23" s="12">
        <f t="shared" ca="1" si="13"/>
        <v>728255.61076690035</v>
      </c>
      <c r="R23" s="12">
        <f t="shared" ca="1" si="14"/>
        <v>752050.91295382963</v>
      </c>
      <c r="S23" s="12">
        <f t="shared" ca="1" si="15"/>
        <v>892217.29156570509</v>
      </c>
      <c r="T23" s="12">
        <f t="shared" ca="1" si="16"/>
        <v>1082803.154302631</v>
      </c>
      <c r="U23" s="12">
        <f t="shared" ca="1" si="17"/>
        <v>1182771.6433111611</v>
      </c>
      <c r="V23" s="12">
        <f t="shared" ca="1" si="18"/>
        <v>1291339.7850403057</v>
      </c>
      <c r="W23" s="12">
        <f t="shared" ca="1" si="19"/>
        <v>1136507.410609985</v>
      </c>
      <c r="X23" s="12">
        <f t="shared" ca="1" si="20"/>
        <v>1212431.2938751555</v>
      </c>
      <c r="Y23" s="12">
        <f t="shared" ca="1" si="21"/>
        <v>1529899.5894790799</v>
      </c>
      <c r="Z23" s="12">
        <f t="shared" ca="1" si="22"/>
        <v>1658458.0562250749</v>
      </c>
      <c r="AA23" s="12">
        <f t="shared" ca="1" si="23"/>
        <v>1508487.381700393</v>
      </c>
      <c r="AB23" s="12">
        <f t="shared" ca="1" si="24"/>
        <v>1679631.9180306287</v>
      </c>
      <c r="AC23" s="12">
        <f t="shared" ca="1" si="25"/>
        <v>2197607.5871446361</v>
      </c>
      <c r="AD23" s="12">
        <f t="shared" ca="1" si="26"/>
        <v>2390630.1703941035</v>
      </c>
      <c r="AE23" s="12">
        <f t="shared" ca="1" si="27"/>
        <v>2888283.0545200892</v>
      </c>
      <c r="AF23" s="12">
        <f t="shared" ca="1" si="28"/>
        <v>3303527.0881804782</v>
      </c>
      <c r="AG23" s="12">
        <f t="shared" ca="1" si="29"/>
        <v>3605905.6681517237</v>
      </c>
      <c r="AH23" s="12">
        <f t="shared" ca="1" si="30"/>
        <v>3605905.6681517237</v>
      </c>
    </row>
    <row r="24" spans="2:34" x14ac:dyDescent="0.25">
      <c r="B24" s="6">
        <v>8</v>
      </c>
      <c r="D24" s="12">
        <f t="shared" ca="1" si="0"/>
        <v>191266.1227171291</v>
      </c>
      <c r="E24" s="12">
        <f t="shared" ca="1" si="1"/>
        <v>222541.19989851548</v>
      </c>
      <c r="F24" s="12">
        <f t="shared" ca="1" si="2"/>
        <v>255785.271855878</v>
      </c>
      <c r="G24" s="12">
        <f t="shared" ca="1" si="3"/>
        <v>307851.02080822381</v>
      </c>
      <c r="H24" s="12">
        <f t="shared" ca="1" si="4"/>
        <v>396034.26549792069</v>
      </c>
      <c r="I24" s="12">
        <f t="shared" ca="1" si="5"/>
        <v>436439.10004664777</v>
      </c>
      <c r="J24" s="12">
        <f t="shared" ca="1" si="6"/>
        <v>521535.53680786671</v>
      </c>
      <c r="K24" s="12">
        <f t="shared" ca="1" si="7"/>
        <v>462508.53593251482</v>
      </c>
      <c r="L24" s="12">
        <f t="shared" ca="1" si="8"/>
        <v>466061.24023778713</v>
      </c>
      <c r="M24" s="12">
        <f t="shared" ca="1" si="9"/>
        <v>555388.63594669837</v>
      </c>
      <c r="N24" s="12">
        <f t="shared" ca="1" si="10"/>
        <v>636193.42300521431</v>
      </c>
      <c r="O24" s="12">
        <f t="shared" ca="1" si="11"/>
        <v>627356.09869154077</v>
      </c>
      <c r="P24" s="12">
        <f t="shared" ca="1" si="12"/>
        <v>777348.47851693467</v>
      </c>
      <c r="Q24" s="12">
        <f t="shared" ca="1" si="13"/>
        <v>685018.10922753427</v>
      </c>
      <c r="R24" s="12">
        <f t="shared" ca="1" si="14"/>
        <v>680950.75160906231</v>
      </c>
      <c r="S24" s="12">
        <f t="shared" ca="1" si="15"/>
        <v>761872.73611955252</v>
      </c>
      <c r="T24" s="12">
        <f t="shared" ca="1" si="16"/>
        <v>937103.63688825082</v>
      </c>
      <c r="U24" s="12">
        <f t="shared" ca="1" si="17"/>
        <v>874808.38270277646</v>
      </c>
      <c r="V24" s="12">
        <f t="shared" ca="1" si="18"/>
        <v>993465.55994838045</v>
      </c>
      <c r="W24" s="12">
        <f t="shared" ca="1" si="19"/>
        <v>999554.80588701786</v>
      </c>
      <c r="X24" s="12">
        <f t="shared" ca="1" si="20"/>
        <v>1092395.3493006492</v>
      </c>
      <c r="Y24" s="12">
        <f t="shared" ca="1" si="21"/>
        <v>1315156.18638513</v>
      </c>
      <c r="Z24" s="12">
        <f t="shared" ca="1" si="22"/>
        <v>1630647.7914614424</v>
      </c>
      <c r="AA24" s="12">
        <f t="shared" ca="1" si="23"/>
        <v>1623416.269865694</v>
      </c>
      <c r="AB24" s="12">
        <f t="shared" ca="1" si="24"/>
        <v>1545025.1605565294</v>
      </c>
      <c r="AC24" s="12">
        <f t="shared" ca="1" si="25"/>
        <v>1634796.3033072941</v>
      </c>
      <c r="AD24" s="12">
        <f t="shared" ca="1" si="26"/>
        <v>2035504.5223354974</v>
      </c>
      <c r="AE24" s="12">
        <f t="shared" ca="1" si="27"/>
        <v>1960137.1272744448</v>
      </c>
      <c r="AF24" s="12">
        <f t="shared" ca="1" si="28"/>
        <v>1880212.7727216345</v>
      </c>
      <c r="AG24" s="12">
        <f t="shared" ca="1" si="29"/>
        <v>1918786.4002649381</v>
      </c>
      <c r="AH24" s="12">
        <f t="shared" ca="1" si="30"/>
        <v>1918786.4002649381</v>
      </c>
    </row>
    <row r="25" spans="2:34" x14ac:dyDescent="0.25">
      <c r="B25" s="6">
        <v>9</v>
      </c>
      <c r="D25" s="12">
        <f t="shared" ca="1" si="0"/>
        <v>177971.70068447376</v>
      </c>
      <c r="E25" s="12">
        <f t="shared" ca="1" si="1"/>
        <v>192055.1188477978</v>
      </c>
      <c r="F25" s="12">
        <f t="shared" ca="1" si="2"/>
        <v>219207.93049222062</v>
      </c>
      <c r="G25" s="12">
        <f t="shared" ca="1" si="3"/>
        <v>230279.52858264543</v>
      </c>
      <c r="H25" s="12">
        <f t="shared" ca="1" si="4"/>
        <v>237800.60130022053</v>
      </c>
      <c r="I25" s="12">
        <f t="shared" ca="1" si="5"/>
        <v>241813.24071234619</v>
      </c>
      <c r="J25" s="12">
        <f t="shared" ca="1" si="6"/>
        <v>265286.77011825494</v>
      </c>
      <c r="K25" s="12">
        <f t="shared" ca="1" si="7"/>
        <v>300956.16861277207</v>
      </c>
      <c r="L25" s="12">
        <f t="shared" ca="1" si="8"/>
        <v>321260.24373823433</v>
      </c>
      <c r="M25" s="12">
        <f t="shared" ca="1" si="9"/>
        <v>400601.85710184328</v>
      </c>
      <c r="N25" s="12">
        <f t="shared" ca="1" si="10"/>
        <v>406374.94602794189</v>
      </c>
      <c r="O25" s="12">
        <f t="shared" ca="1" si="11"/>
        <v>435768.8091101498</v>
      </c>
      <c r="P25" s="12">
        <f t="shared" ca="1" si="12"/>
        <v>524554.97827351512</v>
      </c>
      <c r="Q25" s="12">
        <f t="shared" ca="1" si="13"/>
        <v>558766.35683779628</v>
      </c>
      <c r="R25" s="12">
        <f t="shared" ca="1" si="14"/>
        <v>642557.49209969619</v>
      </c>
      <c r="S25" s="12">
        <f t="shared" ca="1" si="15"/>
        <v>560515.10717920098</v>
      </c>
      <c r="T25" s="12">
        <f t="shared" ca="1" si="16"/>
        <v>683249.69828742708</v>
      </c>
      <c r="U25" s="12">
        <f t="shared" ca="1" si="17"/>
        <v>722201.5620933132</v>
      </c>
      <c r="V25" s="12">
        <f t="shared" ca="1" si="18"/>
        <v>812369.25990340312</v>
      </c>
      <c r="W25" s="12">
        <f t="shared" ca="1" si="19"/>
        <v>804947.27415949095</v>
      </c>
      <c r="X25" s="12">
        <f t="shared" ca="1" si="20"/>
        <v>899764.25263978564</v>
      </c>
      <c r="Y25" s="12">
        <f t="shared" ca="1" si="21"/>
        <v>1078571.4790869358</v>
      </c>
      <c r="Z25" s="12">
        <f t="shared" ca="1" si="22"/>
        <v>1140676.6213306852</v>
      </c>
      <c r="AA25" s="12">
        <f t="shared" ca="1" si="23"/>
        <v>1221064.1358968227</v>
      </c>
      <c r="AB25" s="12">
        <f t="shared" ca="1" si="24"/>
        <v>1450478.725416482</v>
      </c>
      <c r="AC25" s="12">
        <f t="shared" ca="1" si="25"/>
        <v>1346082.2812802352</v>
      </c>
      <c r="AD25" s="12">
        <f t="shared" ca="1" si="26"/>
        <v>1710756.1042018549</v>
      </c>
      <c r="AE25" s="12">
        <f t="shared" ca="1" si="27"/>
        <v>1748242.6960098231</v>
      </c>
      <c r="AF25" s="12">
        <f t="shared" ca="1" si="28"/>
        <v>1599124.1908043211</v>
      </c>
      <c r="AG25" s="12">
        <f t="shared" ca="1" si="29"/>
        <v>1793547.0610407086</v>
      </c>
      <c r="AH25" s="12">
        <f t="shared" ca="1" si="30"/>
        <v>1793547.0610407086</v>
      </c>
    </row>
    <row r="26" spans="2:34" x14ac:dyDescent="0.25">
      <c r="B26" s="6">
        <v>10</v>
      </c>
      <c r="D26" s="12">
        <f t="shared" ca="1" si="0"/>
        <v>174502.76197055986</v>
      </c>
      <c r="E26" s="12">
        <f t="shared" ca="1" si="1"/>
        <v>189204.0812652458</v>
      </c>
      <c r="F26" s="12">
        <f t="shared" ca="1" si="2"/>
        <v>253695.94594116457</v>
      </c>
      <c r="G26" s="12">
        <f t="shared" ca="1" si="3"/>
        <v>286969.6227773354</v>
      </c>
      <c r="H26" s="12">
        <f t="shared" ca="1" si="4"/>
        <v>355127.53963804676</v>
      </c>
      <c r="I26" s="12">
        <f t="shared" ca="1" si="5"/>
        <v>328156.93798110541</v>
      </c>
      <c r="J26" s="12">
        <f t="shared" ca="1" si="6"/>
        <v>327532.6302475789</v>
      </c>
      <c r="K26" s="12">
        <f t="shared" ca="1" si="7"/>
        <v>384466.98531611555</v>
      </c>
      <c r="L26" s="12">
        <f t="shared" ca="1" si="8"/>
        <v>443789.02934854041</v>
      </c>
      <c r="M26" s="12">
        <f t="shared" ca="1" si="9"/>
        <v>535362.71658888995</v>
      </c>
      <c r="N26" s="12">
        <f t="shared" ca="1" si="10"/>
        <v>615098.20757330651</v>
      </c>
      <c r="O26" s="12">
        <f t="shared" ca="1" si="11"/>
        <v>677101.00725066953</v>
      </c>
      <c r="P26" s="12">
        <f t="shared" ca="1" si="12"/>
        <v>760773.80155186972</v>
      </c>
      <c r="Q26" s="12">
        <f t="shared" ca="1" si="13"/>
        <v>783526.55366242817</v>
      </c>
      <c r="R26" s="12">
        <f t="shared" ca="1" si="14"/>
        <v>955907.88006056286</v>
      </c>
      <c r="S26" s="12">
        <f t="shared" ca="1" si="15"/>
        <v>998589.81994870584</v>
      </c>
      <c r="T26" s="12">
        <f t="shared" ca="1" si="16"/>
        <v>1215131.1381177001</v>
      </c>
      <c r="U26" s="12">
        <f t="shared" ca="1" si="17"/>
        <v>1282608.0508050846</v>
      </c>
      <c r="V26" s="12">
        <f t="shared" ca="1" si="18"/>
        <v>1491568.228959616</v>
      </c>
      <c r="W26" s="12">
        <f t="shared" ca="1" si="19"/>
        <v>1609291.7624703839</v>
      </c>
      <c r="X26" s="12">
        <f t="shared" ca="1" si="20"/>
        <v>1911344.1471246628</v>
      </c>
      <c r="Y26" s="12">
        <f t="shared" ca="1" si="21"/>
        <v>2136340.3925893623</v>
      </c>
      <c r="Z26" s="12">
        <f t="shared" ca="1" si="22"/>
        <v>2320894.771269883</v>
      </c>
      <c r="AA26" s="12">
        <f t="shared" ca="1" si="23"/>
        <v>2543744.4800785338</v>
      </c>
      <c r="AB26" s="12">
        <f t="shared" ca="1" si="24"/>
        <v>2564653.6955659688</v>
      </c>
      <c r="AC26" s="12">
        <f t="shared" ca="1" si="25"/>
        <v>2431565.8799415343</v>
      </c>
      <c r="AD26" s="12">
        <f t="shared" ca="1" si="26"/>
        <v>2432474.5754209519</v>
      </c>
      <c r="AE26" s="12">
        <f t="shared" ca="1" si="27"/>
        <v>2689478.7798829805</v>
      </c>
      <c r="AF26" s="12">
        <f t="shared" ca="1" si="28"/>
        <v>2608418.5568849337</v>
      </c>
      <c r="AG26" s="12">
        <f t="shared" ca="1" si="29"/>
        <v>2878259.381945651</v>
      </c>
      <c r="AH26" s="12">
        <f t="shared" ca="1" si="30"/>
        <v>2878259.381945651</v>
      </c>
    </row>
    <row r="27" spans="2:34" x14ac:dyDescent="0.25">
      <c r="B27" s="6">
        <v>11</v>
      </c>
      <c r="D27" s="12">
        <f t="shared" ca="1" si="0"/>
        <v>209517.51191141343</v>
      </c>
      <c r="E27" s="12">
        <f t="shared" ca="1" si="1"/>
        <v>251997.80158698856</v>
      </c>
      <c r="F27" s="12">
        <f t="shared" ca="1" si="2"/>
        <v>268597.82697324851</v>
      </c>
      <c r="G27" s="12">
        <f t="shared" ca="1" si="3"/>
        <v>320655.35431427951</v>
      </c>
      <c r="H27" s="12">
        <f t="shared" ca="1" si="4"/>
        <v>362371.89602482866</v>
      </c>
      <c r="I27" s="12">
        <f t="shared" ca="1" si="5"/>
        <v>370012.88830477319</v>
      </c>
      <c r="J27" s="12">
        <f t="shared" ca="1" si="6"/>
        <v>439200.10886482283</v>
      </c>
      <c r="K27" s="12">
        <f t="shared" ca="1" si="7"/>
        <v>489309.95133318281</v>
      </c>
      <c r="L27" s="12">
        <f t="shared" ca="1" si="8"/>
        <v>460017.37687312008</v>
      </c>
      <c r="M27" s="12">
        <f t="shared" ca="1" si="9"/>
        <v>511284.23345616477</v>
      </c>
      <c r="N27" s="12">
        <f t="shared" ca="1" si="10"/>
        <v>553656.00380966032</v>
      </c>
      <c r="O27" s="12">
        <f t="shared" ca="1" si="11"/>
        <v>608579.35678438318</v>
      </c>
      <c r="P27" s="12">
        <f t="shared" ca="1" si="12"/>
        <v>582363.9053842203</v>
      </c>
      <c r="Q27" s="12">
        <f t="shared" ca="1" si="13"/>
        <v>681809.91658008238</v>
      </c>
      <c r="R27" s="12">
        <f t="shared" ca="1" si="14"/>
        <v>663717.56909513939</v>
      </c>
      <c r="S27" s="12">
        <f t="shared" ca="1" si="15"/>
        <v>665453.89533945487</v>
      </c>
      <c r="T27" s="12">
        <f t="shared" ca="1" si="16"/>
        <v>729652.62696535792</v>
      </c>
      <c r="U27" s="12">
        <f t="shared" ca="1" si="17"/>
        <v>760575.60206536506</v>
      </c>
      <c r="V27" s="12">
        <f t="shared" ca="1" si="18"/>
        <v>840198.33979082992</v>
      </c>
      <c r="W27" s="12">
        <f t="shared" ca="1" si="19"/>
        <v>772538.68975534628</v>
      </c>
      <c r="X27" s="12">
        <f t="shared" ca="1" si="20"/>
        <v>1003430.8228696386</v>
      </c>
      <c r="Y27" s="12">
        <f t="shared" ca="1" si="21"/>
        <v>1248302.2164537488</v>
      </c>
      <c r="Z27" s="12">
        <f t="shared" ca="1" si="22"/>
        <v>1487724.5162535713</v>
      </c>
      <c r="AA27" s="12">
        <f t="shared" ca="1" si="23"/>
        <v>1499083.4954395243</v>
      </c>
      <c r="AB27" s="12">
        <f t="shared" ca="1" si="24"/>
        <v>1461028.5956378095</v>
      </c>
      <c r="AC27" s="12">
        <f t="shared" ca="1" si="25"/>
        <v>1564074.937764877</v>
      </c>
      <c r="AD27" s="12">
        <f t="shared" ca="1" si="26"/>
        <v>1694004.1066595174</v>
      </c>
      <c r="AE27" s="12">
        <f t="shared" ca="1" si="27"/>
        <v>1947529.8994486101</v>
      </c>
      <c r="AF27" s="12">
        <f t="shared" ca="1" si="28"/>
        <v>1861672.0177876418</v>
      </c>
      <c r="AG27" s="12">
        <f t="shared" ca="1" si="29"/>
        <v>2283545.8200567369</v>
      </c>
      <c r="AH27" s="12">
        <f t="shared" ca="1" si="30"/>
        <v>2283545.8200567369</v>
      </c>
    </row>
    <row r="28" spans="2:34" x14ac:dyDescent="0.25">
      <c r="B28" s="6">
        <v>12</v>
      </c>
      <c r="D28" s="12">
        <f t="shared" ca="1" si="0"/>
        <v>172345.29333250845</v>
      </c>
      <c r="E28" s="12">
        <f t="shared" ca="1" si="1"/>
        <v>208891.98831515212</v>
      </c>
      <c r="F28" s="12">
        <f t="shared" ca="1" si="2"/>
        <v>211037.51838638741</v>
      </c>
      <c r="G28" s="12">
        <f t="shared" ca="1" si="3"/>
        <v>226573.68302524503</v>
      </c>
      <c r="H28" s="12">
        <f t="shared" ca="1" si="4"/>
        <v>298057.04837097757</v>
      </c>
      <c r="I28" s="12">
        <f t="shared" ca="1" si="5"/>
        <v>284044.48608446249</v>
      </c>
      <c r="J28" s="12">
        <f t="shared" ca="1" si="6"/>
        <v>326488.50897984224</v>
      </c>
      <c r="K28" s="12">
        <f t="shared" ca="1" si="7"/>
        <v>314532.40318085789</v>
      </c>
      <c r="L28" s="12">
        <f t="shared" ca="1" si="8"/>
        <v>395774.86576055322</v>
      </c>
      <c r="M28" s="12">
        <f t="shared" ca="1" si="9"/>
        <v>475251.7503765499</v>
      </c>
      <c r="N28" s="12">
        <f t="shared" ca="1" si="10"/>
        <v>533271.39924126549</v>
      </c>
      <c r="O28" s="12">
        <f t="shared" ca="1" si="11"/>
        <v>644248.87277617119</v>
      </c>
      <c r="P28" s="12">
        <f t="shared" ca="1" si="12"/>
        <v>686150.41329791315</v>
      </c>
      <c r="Q28" s="12">
        <f t="shared" ca="1" si="13"/>
        <v>708518.72559177689</v>
      </c>
      <c r="R28" s="12">
        <f t="shared" ca="1" si="14"/>
        <v>950593.87050424505</v>
      </c>
      <c r="S28" s="12">
        <f t="shared" ca="1" si="15"/>
        <v>1053224.1426701031</v>
      </c>
      <c r="T28" s="12">
        <f t="shared" ca="1" si="16"/>
        <v>1011841.8057686308</v>
      </c>
      <c r="U28" s="12">
        <f t="shared" ca="1" si="17"/>
        <v>1166919.2829548791</v>
      </c>
      <c r="V28" s="12">
        <f t="shared" ca="1" si="18"/>
        <v>1346013.6797844544</v>
      </c>
      <c r="W28" s="12">
        <f t="shared" ca="1" si="19"/>
        <v>1258394.563604774</v>
      </c>
      <c r="X28" s="12">
        <f t="shared" ca="1" si="20"/>
        <v>1309497.5315417158</v>
      </c>
      <c r="Y28" s="12">
        <f t="shared" ca="1" si="21"/>
        <v>1656414.6263742009</v>
      </c>
      <c r="Z28" s="12">
        <f t="shared" ca="1" si="22"/>
        <v>1966833.0669858353</v>
      </c>
      <c r="AA28" s="12">
        <f t="shared" ca="1" si="23"/>
        <v>1970230.8437000487</v>
      </c>
      <c r="AB28" s="12">
        <f t="shared" ca="1" si="24"/>
        <v>1941571.9529658624</v>
      </c>
      <c r="AC28" s="12">
        <f t="shared" ca="1" si="25"/>
        <v>2613595.8222789727</v>
      </c>
      <c r="AD28" s="12">
        <f t="shared" ca="1" si="26"/>
        <v>2789301.9226472452</v>
      </c>
      <c r="AE28" s="12">
        <f t="shared" ca="1" si="27"/>
        <v>2795500.0321683297</v>
      </c>
      <c r="AF28" s="12">
        <f t="shared" ca="1" si="28"/>
        <v>2730267.733711855</v>
      </c>
      <c r="AG28" s="12">
        <f t="shared" ca="1" si="29"/>
        <v>2275128.1038736752</v>
      </c>
      <c r="AH28" s="12">
        <f t="shared" ca="1" si="30"/>
        <v>2275128.1038736752</v>
      </c>
    </row>
    <row r="29" spans="2:34" x14ac:dyDescent="0.25">
      <c r="B29" s="6">
        <v>13</v>
      </c>
      <c r="D29" s="12">
        <f t="shared" ca="1" si="0"/>
        <v>171908.2139656111</v>
      </c>
      <c r="E29" s="12">
        <f t="shared" ca="1" si="1"/>
        <v>186991.52279208769</v>
      </c>
      <c r="F29" s="12">
        <f t="shared" ca="1" si="2"/>
        <v>222697.59524779982</v>
      </c>
      <c r="G29" s="12">
        <f t="shared" ca="1" si="3"/>
        <v>262435.21935114719</v>
      </c>
      <c r="H29" s="12">
        <f t="shared" ca="1" si="4"/>
        <v>259019.37849512251</v>
      </c>
      <c r="I29" s="12">
        <f t="shared" ca="1" si="5"/>
        <v>282499.96722531592</v>
      </c>
      <c r="J29" s="12">
        <f t="shared" ca="1" si="6"/>
        <v>354485.41765337944</v>
      </c>
      <c r="K29" s="12">
        <f t="shared" ca="1" si="7"/>
        <v>419575.48528641055</v>
      </c>
      <c r="L29" s="12">
        <f t="shared" ca="1" si="8"/>
        <v>504155.30695088184</v>
      </c>
      <c r="M29" s="12">
        <f t="shared" ca="1" si="9"/>
        <v>600302.7506910197</v>
      </c>
      <c r="N29" s="12">
        <f t="shared" ca="1" si="10"/>
        <v>685147.30190889782</v>
      </c>
      <c r="O29" s="12">
        <f t="shared" ca="1" si="11"/>
        <v>772049.99875317561</v>
      </c>
      <c r="P29" s="12">
        <f t="shared" ca="1" si="12"/>
        <v>927460.70894037921</v>
      </c>
      <c r="Q29" s="12">
        <f t="shared" ca="1" si="13"/>
        <v>993904.50915878837</v>
      </c>
      <c r="R29" s="12">
        <f t="shared" ca="1" si="14"/>
        <v>1198131.0206643313</v>
      </c>
      <c r="S29" s="12">
        <f t="shared" ca="1" si="15"/>
        <v>1326235.9266912369</v>
      </c>
      <c r="T29" s="12">
        <f t="shared" ca="1" si="16"/>
        <v>1325105.9712296657</v>
      </c>
      <c r="U29" s="12">
        <f t="shared" ca="1" si="17"/>
        <v>1658516.0234711932</v>
      </c>
      <c r="V29" s="12">
        <f t="shared" ca="1" si="18"/>
        <v>1282186.593626603</v>
      </c>
      <c r="W29" s="12">
        <f t="shared" ca="1" si="19"/>
        <v>1305944.3642266013</v>
      </c>
      <c r="X29" s="12">
        <f t="shared" ca="1" si="20"/>
        <v>1404437.1267123793</v>
      </c>
      <c r="Y29" s="12">
        <f t="shared" ca="1" si="21"/>
        <v>1470040.9391809548</v>
      </c>
      <c r="Z29" s="12">
        <f t="shared" ca="1" si="22"/>
        <v>1595648.3263802787</v>
      </c>
      <c r="AA29" s="12">
        <f t="shared" ca="1" si="23"/>
        <v>1613518.4083388974</v>
      </c>
      <c r="AB29" s="12">
        <f t="shared" ca="1" si="24"/>
        <v>1890315.9493171575</v>
      </c>
      <c r="AC29" s="12">
        <f t="shared" ca="1" si="25"/>
        <v>2084305.9648696012</v>
      </c>
      <c r="AD29" s="12">
        <f t="shared" ca="1" si="26"/>
        <v>2211827.7622962734</v>
      </c>
      <c r="AE29" s="12">
        <f t="shared" ca="1" si="27"/>
        <v>2415240.7235732782</v>
      </c>
      <c r="AF29" s="12">
        <f t="shared" ca="1" si="28"/>
        <v>3067847.8725071042</v>
      </c>
      <c r="AG29" s="12">
        <f t="shared" ca="1" si="29"/>
        <v>3073520.8182867519</v>
      </c>
      <c r="AH29" s="12">
        <f t="shared" ca="1" si="30"/>
        <v>3073520.8182867519</v>
      </c>
    </row>
    <row r="30" spans="2:34" x14ac:dyDescent="0.25">
      <c r="B30" s="6">
        <v>14</v>
      </c>
      <c r="D30" s="12">
        <f t="shared" ca="1" si="0"/>
        <v>206878.29080278857</v>
      </c>
      <c r="E30" s="12">
        <f t="shared" ca="1" si="1"/>
        <v>226741.26431739354</v>
      </c>
      <c r="F30" s="12">
        <f t="shared" ca="1" si="2"/>
        <v>216557.63605916634</v>
      </c>
      <c r="G30" s="12">
        <f t="shared" ca="1" si="3"/>
        <v>234948.89381518264</v>
      </c>
      <c r="H30" s="12">
        <f t="shared" ca="1" si="4"/>
        <v>234764.59127437198</v>
      </c>
      <c r="I30" s="12">
        <f t="shared" ca="1" si="5"/>
        <v>222694.29464063729</v>
      </c>
      <c r="J30" s="12">
        <f t="shared" ca="1" si="6"/>
        <v>232708.68722002729</v>
      </c>
      <c r="K30" s="12">
        <f t="shared" ca="1" si="7"/>
        <v>267967.44283627433</v>
      </c>
      <c r="L30" s="12">
        <f t="shared" ca="1" si="8"/>
        <v>266683.84930637461</v>
      </c>
      <c r="M30" s="12">
        <f t="shared" ca="1" si="9"/>
        <v>332629.55538840941</v>
      </c>
      <c r="N30" s="12">
        <f t="shared" ca="1" si="10"/>
        <v>328997.72678521473</v>
      </c>
      <c r="O30" s="12">
        <f t="shared" ca="1" si="11"/>
        <v>388025.33790335251</v>
      </c>
      <c r="P30" s="12">
        <f t="shared" ca="1" si="12"/>
        <v>426685.29104259779</v>
      </c>
      <c r="Q30" s="12">
        <f t="shared" ca="1" si="13"/>
        <v>472455.18525629363</v>
      </c>
      <c r="R30" s="12">
        <f t="shared" ca="1" si="14"/>
        <v>462912.77187793696</v>
      </c>
      <c r="S30" s="12">
        <f t="shared" ca="1" si="15"/>
        <v>531749.86263792287</v>
      </c>
      <c r="T30" s="12">
        <f t="shared" ca="1" si="16"/>
        <v>588791.81352449604</v>
      </c>
      <c r="U30" s="12">
        <f t="shared" ca="1" si="17"/>
        <v>741524.08041742397</v>
      </c>
      <c r="V30" s="12">
        <f t="shared" ca="1" si="18"/>
        <v>734265.68639808998</v>
      </c>
      <c r="W30" s="12">
        <f t="shared" ca="1" si="19"/>
        <v>747350.61584703089</v>
      </c>
      <c r="X30" s="12">
        <f t="shared" ca="1" si="20"/>
        <v>853781.39408267196</v>
      </c>
      <c r="Y30" s="12">
        <f t="shared" ca="1" si="21"/>
        <v>1108093.7224481984</v>
      </c>
      <c r="Z30" s="12">
        <f t="shared" ca="1" si="22"/>
        <v>1281160.7127676886</v>
      </c>
      <c r="AA30" s="12">
        <f t="shared" ca="1" si="23"/>
        <v>1134359.3696490231</v>
      </c>
      <c r="AB30" s="12">
        <f t="shared" ca="1" si="24"/>
        <v>1155493.2404987726</v>
      </c>
      <c r="AC30" s="12">
        <f t="shared" ca="1" si="25"/>
        <v>1106234.6959502117</v>
      </c>
      <c r="AD30" s="12">
        <f t="shared" ca="1" si="26"/>
        <v>1254862.532297825</v>
      </c>
      <c r="AE30" s="12">
        <f t="shared" ca="1" si="27"/>
        <v>1372930.3054426534</v>
      </c>
      <c r="AF30" s="12">
        <f t="shared" ca="1" si="28"/>
        <v>1424378.9249576393</v>
      </c>
      <c r="AG30" s="12">
        <f t="shared" ca="1" si="29"/>
        <v>1509904.4068653078</v>
      </c>
      <c r="AH30" s="12">
        <f t="shared" ca="1" si="30"/>
        <v>1509904.4068653078</v>
      </c>
    </row>
    <row r="31" spans="2:34" x14ac:dyDescent="0.25">
      <c r="B31" s="6">
        <v>15</v>
      </c>
      <c r="D31" s="12">
        <f t="shared" ca="1" si="0"/>
        <v>204674.62586701044</v>
      </c>
      <c r="E31" s="12">
        <f t="shared" ca="1" si="1"/>
        <v>271710.73084039614</v>
      </c>
      <c r="F31" s="12">
        <f t="shared" ca="1" si="2"/>
        <v>337828.40434396442</v>
      </c>
      <c r="G31" s="12">
        <f t="shared" ca="1" si="3"/>
        <v>391261.77282773779</v>
      </c>
      <c r="H31" s="12">
        <f t="shared" ca="1" si="4"/>
        <v>465863.94282563846</v>
      </c>
      <c r="I31" s="12">
        <f t="shared" ca="1" si="5"/>
        <v>497787.76575505297</v>
      </c>
      <c r="J31" s="12">
        <f t="shared" ca="1" si="6"/>
        <v>512026.02699669468</v>
      </c>
      <c r="K31" s="12">
        <f t="shared" ca="1" si="7"/>
        <v>639943.23886318773</v>
      </c>
      <c r="L31" s="12">
        <f t="shared" ca="1" si="8"/>
        <v>697712.17893963924</v>
      </c>
      <c r="M31" s="12">
        <f t="shared" ca="1" si="9"/>
        <v>799734.43311189907</v>
      </c>
      <c r="N31" s="12">
        <f t="shared" ca="1" si="10"/>
        <v>992666.31205795542</v>
      </c>
      <c r="O31" s="12">
        <f t="shared" ca="1" si="11"/>
        <v>1287576.0716890225</v>
      </c>
      <c r="P31" s="12">
        <f t="shared" ca="1" si="12"/>
        <v>1238945.8022947598</v>
      </c>
      <c r="Q31" s="12">
        <f t="shared" ca="1" si="13"/>
        <v>1365552.458411627</v>
      </c>
      <c r="R31" s="12">
        <f t="shared" ca="1" si="14"/>
        <v>1499115.1355309167</v>
      </c>
      <c r="S31" s="12">
        <f t="shared" ca="1" si="15"/>
        <v>1460322.9964968592</v>
      </c>
      <c r="T31" s="12">
        <f t="shared" ca="1" si="16"/>
        <v>1811222.7333372356</v>
      </c>
      <c r="U31" s="12">
        <f t="shared" ca="1" si="17"/>
        <v>2024200.6657300964</v>
      </c>
      <c r="V31" s="12">
        <f t="shared" ca="1" si="18"/>
        <v>2006020.0457792918</v>
      </c>
      <c r="W31" s="12">
        <f t="shared" ca="1" si="19"/>
        <v>2146855.3474594238</v>
      </c>
      <c r="X31" s="12">
        <f t="shared" ca="1" si="20"/>
        <v>2817774.525585793</v>
      </c>
      <c r="Y31" s="12">
        <f t="shared" ca="1" si="21"/>
        <v>2907604.5814334438</v>
      </c>
      <c r="Z31" s="12">
        <f t="shared" ca="1" si="22"/>
        <v>2947718.846075072</v>
      </c>
      <c r="AA31" s="12">
        <f t="shared" ca="1" si="23"/>
        <v>2807287.506576248</v>
      </c>
      <c r="AB31" s="12">
        <f t="shared" ca="1" si="24"/>
        <v>3001186.5028131427</v>
      </c>
      <c r="AC31" s="12">
        <f t="shared" ca="1" si="25"/>
        <v>3371317.1105084331</v>
      </c>
      <c r="AD31" s="12">
        <f t="shared" ca="1" si="26"/>
        <v>3767889.9792919662</v>
      </c>
      <c r="AE31" s="12">
        <f t="shared" ca="1" si="27"/>
        <v>3494412.9644128764</v>
      </c>
      <c r="AF31" s="12">
        <f t="shared" ca="1" si="28"/>
        <v>3267171.6003526542</v>
      </c>
      <c r="AG31" s="12">
        <f t="shared" ca="1" si="29"/>
        <v>3054233.6687792377</v>
      </c>
      <c r="AH31" s="12">
        <f t="shared" ca="1" si="30"/>
        <v>3054233.6687792377</v>
      </c>
    </row>
    <row r="32" spans="2:34" x14ac:dyDescent="0.25">
      <c r="B32" s="6">
        <v>16</v>
      </c>
      <c r="D32" s="12">
        <f t="shared" ca="1" si="0"/>
        <v>160364.58566091079</v>
      </c>
      <c r="E32" s="12">
        <f t="shared" ca="1" si="1"/>
        <v>180990.13313031878</v>
      </c>
      <c r="F32" s="12">
        <f t="shared" ca="1" si="2"/>
        <v>243498.76587502949</v>
      </c>
      <c r="G32" s="12">
        <f t="shared" ca="1" si="3"/>
        <v>310986.09151919174</v>
      </c>
      <c r="H32" s="12">
        <f t="shared" ca="1" si="4"/>
        <v>314823.96088687168</v>
      </c>
      <c r="I32" s="12">
        <f t="shared" ca="1" si="5"/>
        <v>269917.34785962658</v>
      </c>
      <c r="J32" s="12">
        <f t="shared" ca="1" si="6"/>
        <v>337774.23487721331</v>
      </c>
      <c r="K32" s="12">
        <f t="shared" ca="1" si="7"/>
        <v>354016.92848164402</v>
      </c>
      <c r="L32" s="12">
        <f t="shared" ca="1" si="8"/>
        <v>434838.75093334692</v>
      </c>
      <c r="M32" s="12">
        <f t="shared" ca="1" si="9"/>
        <v>429881.82657207892</v>
      </c>
      <c r="N32" s="12">
        <f t="shared" ca="1" si="10"/>
        <v>363463.55140987196</v>
      </c>
      <c r="O32" s="12">
        <f t="shared" ca="1" si="11"/>
        <v>371432.18627805845</v>
      </c>
      <c r="P32" s="12">
        <f t="shared" ca="1" si="12"/>
        <v>383935.45750620152</v>
      </c>
      <c r="Q32" s="12">
        <f t="shared" ca="1" si="13"/>
        <v>456124.20932911767</v>
      </c>
      <c r="R32" s="12">
        <f t="shared" ca="1" si="14"/>
        <v>558869.81273598142</v>
      </c>
      <c r="S32" s="12">
        <f t="shared" ca="1" si="15"/>
        <v>608774.88895170519</v>
      </c>
      <c r="T32" s="12">
        <f t="shared" ca="1" si="16"/>
        <v>668225.60972923425</v>
      </c>
      <c r="U32" s="12">
        <f t="shared" ca="1" si="17"/>
        <v>783653.33742042514</v>
      </c>
      <c r="V32" s="12">
        <f t="shared" ca="1" si="18"/>
        <v>825182.20769552945</v>
      </c>
      <c r="W32" s="12">
        <f t="shared" ca="1" si="19"/>
        <v>981647.90706443763</v>
      </c>
      <c r="X32" s="12">
        <f t="shared" ca="1" si="20"/>
        <v>916410.5913634178</v>
      </c>
      <c r="Y32" s="12">
        <f t="shared" ca="1" si="21"/>
        <v>839731.98192284955</v>
      </c>
      <c r="Z32" s="12">
        <f t="shared" ca="1" si="22"/>
        <v>734575.44286201964</v>
      </c>
      <c r="AA32" s="12">
        <f t="shared" ca="1" si="23"/>
        <v>738920.92462678091</v>
      </c>
      <c r="AB32" s="12">
        <f t="shared" ca="1" si="24"/>
        <v>1029860.4289557053</v>
      </c>
      <c r="AC32" s="12">
        <f t="shared" ca="1" si="25"/>
        <v>1094938.1374596162</v>
      </c>
      <c r="AD32" s="12">
        <f t="shared" ca="1" si="26"/>
        <v>1088577.5954359856</v>
      </c>
      <c r="AE32" s="12">
        <f t="shared" ca="1" si="27"/>
        <v>887952.54134918866</v>
      </c>
      <c r="AF32" s="12">
        <f t="shared" ca="1" si="28"/>
        <v>1000730.3852094299</v>
      </c>
      <c r="AG32" s="12">
        <f t="shared" ca="1" si="29"/>
        <v>895754.70913185237</v>
      </c>
      <c r="AH32" s="12">
        <f t="shared" ca="1" si="30"/>
        <v>895754.70913185237</v>
      </c>
    </row>
    <row r="33" spans="2:34" x14ac:dyDescent="0.25">
      <c r="B33" s="6">
        <v>17</v>
      </c>
      <c r="D33" s="12">
        <f t="shared" ca="1" si="0"/>
        <v>180458.14543010059</v>
      </c>
      <c r="E33" s="12">
        <f t="shared" ca="1" si="1"/>
        <v>218289.44744560745</v>
      </c>
      <c r="F33" s="12">
        <f t="shared" ca="1" si="2"/>
        <v>240449.17895122102</v>
      </c>
      <c r="G33" s="12">
        <f t="shared" ca="1" si="3"/>
        <v>254165.06085075074</v>
      </c>
      <c r="H33" s="12">
        <f t="shared" ca="1" si="4"/>
        <v>266453.87659978913</v>
      </c>
      <c r="I33" s="12">
        <f t="shared" ca="1" si="5"/>
        <v>288837.74196298525</v>
      </c>
      <c r="J33" s="12">
        <f t="shared" ca="1" si="6"/>
        <v>382792.56261854252</v>
      </c>
      <c r="K33" s="12">
        <f t="shared" ca="1" si="7"/>
        <v>484829.57454750611</v>
      </c>
      <c r="L33" s="12">
        <f t="shared" ca="1" si="8"/>
        <v>572549.11114861153</v>
      </c>
      <c r="M33" s="12">
        <f t="shared" ca="1" si="9"/>
        <v>608243.81926267187</v>
      </c>
      <c r="N33" s="12">
        <f t="shared" ca="1" si="10"/>
        <v>702234.48504122859</v>
      </c>
      <c r="O33" s="12">
        <f t="shared" ca="1" si="11"/>
        <v>817300.46811198106</v>
      </c>
      <c r="P33" s="12">
        <f t="shared" ca="1" si="12"/>
        <v>1053445.1090884504</v>
      </c>
      <c r="Q33" s="12">
        <f t="shared" ca="1" si="13"/>
        <v>1269131.306391207</v>
      </c>
      <c r="R33" s="12">
        <f t="shared" ca="1" si="14"/>
        <v>1618513.8712835119</v>
      </c>
      <c r="S33" s="12">
        <f t="shared" ca="1" si="15"/>
        <v>1739681.2671090751</v>
      </c>
      <c r="T33" s="12">
        <f t="shared" ca="1" si="16"/>
        <v>1912616.7865154585</v>
      </c>
      <c r="U33" s="12">
        <f t="shared" ca="1" si="17"/>
        <v>1785860.8414828519</v>
      </c>
      <c r="V33" s="12">
        <f t="shared" ca="1" si="18"/>
        <v>1978704.8920547252</v>
      </c>
      <c r="W33" s="12">
        <f t="shared" ca="1" si="19"/>
        <v>2173610.0214306</v>
      </c>
      <c r="X33" s="12">
        <f t="shared" ca="1" si="20"/>
        <v>1855902.4569995524</v>
      </c>
      <c r="Y33" s="12">
        <f t="shared" ca="1" si="21"/>
        <v>1699631.5294378945</v>
      </c>
      <c r="Z33" s="12">
        <f t="shared" ca="1" si="22"/>
        <v>1995625.0010252455</v>
      </c>
      <c r="AA33" s="12">
        <f t="shared" ca="1" si="23"/>
        <v>2382306.9982221043</v>
      </c>
      <c r="AB33" s="12">
        <f t="shared" ca="1" si="24"/>
        <v>2208420.9953706586</v>
      </c>
      <c r="AC33" s="12">
        <f t="shared" ca="1" si="25"/>
        <v>2396949.4614797235</v>
      </c>
      <c r="AD33" s="12">
        <f t="shared" ca="1" si="26"/>
        <v>1907862.7309856794</v>
      </c>
      <c r="AE33" s="12">
        <f t="shared" ca="1" si="27"/>
        <v>2069461.9421042043</v>
      </c>
      <c r="AF33" s="12">
        <f t="shared" ca="1" si="28"/>
        <v>2165256.5722054979</v>
      </c>
      <c r="AG33" s="12">
        <f t="shared" ca="1" si="29"/>
        <v>2531294.2679332993</v>
      </c>
      <c r="AH33" s="12">
        <f t="shared" ca="1" si="30"/>
        <v>2531294.2679332993</v>
      </c>
    </row>
    <row r="34" spans="2:34" x14ac:dyDescent="0.25">
      <c r="B34" s="6">
        <v>18</v>
      </c>
      <c r="D34" s="12">
        <f t="shared" ca="1" si="0"/>
        <v>188585.93508150187</v>
      </c>
      <c r="E34" s="12">
        <f t="shared" ca="1" si="1"/>
        <v>253474.25903550029</v>
      </c>
      <c r="F34" s="12">
        <f t="shared" ca="1" si="2"/>
        <v>285910.82227588247</v>
      </c>
      <c r="G34" s="12">
        <f t="shared" ca="1" si="3"/>
        <v>338805.82350645796</v>
      </c>
      <c r="H34" s="12">
        <f t="shared" ca="1" si="4"/>
        <v>374244.79016674904</v>
      </c>
      <c r="I34" s="12">
        <f t="shared" ca="1" si="5"/>
        <v>289406.25149762677</v>
      </c>
      <c r="J34" s="12">
        <f t="shared" ca="1" si="6"/>
        <v>367028.76985466288</v>
      </c>
      <c r="K34" s="12">
        <f t="shared" ca="1" si="7"/>
        <v>387064.04982102982</v>
      </c>
      <c r="L34" s="12">
        <f t="shared" ca="1" si="8"/>
        <v>430587.50897300796</v>
      </c>
      <c r="M34" s="12">
        <f t="shared" ca="1" si="9"/>
        <v>478811.6182623161</v>
      </c>
      <c r="N34" s="12">
        <f t="shared" ca="1" si="10"/>
        <v>470814.61458177934</v>
      </c>
      <c r="O34" s="12">
        <f t="shared" ca="1" si="11"/>
        <v>524663.7057999057</v>
      </c>
      <c r="P34" s="12">
        <f t="shared" ca="1" si="12"/>
        <v>555464.96814652067</v>
      </c>
      <c r="Q34" s="12">
        <f t="shared" ca="1" si="13"/>
        <v>608218.81353042321</v>
      </c>
      <c r="R34" s="12">
        <f t="shared" ca="1" si="14"/>
        <v>660815.35135136277</v>
      </c>
      <c r="S34" s="12">
        <f t="shared" ca="1" si="15"/>
        <v>643467.71002608375</v>
      </c>
      <c r="T34" s="12">
        <f t="shared" ca="1" si="16"/>
        <v>609524.91234089283</v>
      </c>
      <c r="U34" s="12">
        <f t="shared" ca="1" si="17"/>
        <v>721387.50276226166</v>
      </c>
      <c r="V34" s="12">
        <f t="shared" ca="1" si="18"/>
        <v>724785.77918450022</v>
      </c>
      <c r="W34" s="12">
        <f t="shared" ca="1" si="19"/>
        <v>838909.47749877931</v>
      </c>
      <c r="X34" s="12">
        <f t="shared" ca="1" si="20"/>
        <v>852147.57026734692</v>
      </c>
      <c r="Y34" s="12">
        <f t="shared" ca="1" si="21"/>
        <v>920808.98061467311</v>
      </c>
      <c r="Z34" s="12">
        <f t="shared" ca="1" si="22"/>
        <v>1109229.4006447648</v>
      </c>
      <c r="AA34" s="12">
        <f t="shared" ca="1" si="23"/>
        <v>1275608.391541665</v>
      </c>
      <c r="AB34" s="12">
        <f t="shared" ca="1" si="24"/>
        <v>1130877.352954594</v>
      </c>
      <c r="AC34" s="12">
        <f t="shared" ca="1" si="25"/>
        <v>1280477.9749479224</v>
      </c>
      <c r="AD34" s="12">
        <f t="shared" ca="1" si="26"/>
        <v>1441267.5174746613</v>
      </c>
      <c r="AE34" s="12">
        <f t="shared" ca="1" si="27"/>
        <v>1678038.6631704522</v>
      </c>
      <c r="AF34" s="12">
        <f t="shared" ca="1" si="28"/>
        <v>1999100.7959256414</v>
      </c>
      <c r="AG34" s="12">
        <f t="shared" ca="1" si="29"/>
        <v>2391086.5428445241</v>
      </c>
      <c r="AH34" s="12">
        <f t="shared" ca="1" si="30"/>
        <v>2391086.5428445241</v>
      </c>
    </row>
    <row r="35" spans="2:34" x14ac:dyDescent="0.25">
      <c r="B35" s="6">
        <v>19</v>
      </c>
      <c r="D35" s="12">
        <f t="shared" ca="1" si="0"/>
        <v>218584.15759918434</v>
      </c>
      <c r="E35" s="12">
        <f t="shared" ca="1" si="1"/>
        <v>199675.66606818762</v>
      </c>
      <c r="F35" s="12">
        <f t="shared" ca="1" si="2"/>
        <v>257349.53765217698</v>
      </c>
      <c r="G35" s="12">
        <f t="shared" ca="1" si="3"/>
        <v>234550.12695863241</v>
      </c>
      <c r="H35" s="12">
        <f t="shared" ca="1" si="4"/>
        <v>333524.82310780225</v>
      </c>
      <c r="I35" s="12">
        <f t="shared" ca="1" si="5"/>
        <v>345158.49131621368</v>
      </c>
      <c r="J35" s="12">
        <f t="shared" ca="1" si="6"/>
        <v>409262.87752758776</v>
      </c>
      <c r="K35" s="12">
        <f t="shared" ca="1" si="7"/>
        <v>436633.89244156372</v>
      </c>
      <c r="L35" s="12">
        <f t="shared" ca="1" si="8"/>
        <v>509251.73413537128</v>
      </c>
      <c r="M35" s="12">
        <f t="shared" ca="1" si="9"/>
        <v>694216.36206690152</v>
      </c>
      <c r="N35" s="12">
        <f t="shared" ca="1" si="10"/>
        <v>737434.1061918824</v>
      </c>
      <c r="O35" s="12">
        <f t="shared" ca="1" si="11"/>
        <v>831594.81810157292</v>
      </c>
      <c r="P35" s="12">
        <f t="shared" ca="1" si="12"/>
        <v>965517.48056204803</v>
      </c>
      <c r="Q35" s="12">
        <f t="shared" ca="1" si="13"/>
        <v>785832.64158864738</v>
      </c>
      <c r="R35" s="12">
        <f t="shared" ca="1" si="14"/>
        <v>876399.71109303972</v>
      </c>
      <c r="S35" s="12">
        <f t="shared" ca="1" si="15"/>
        <v>930719.73029745801</v>
      </c>
      <c r="T35" s="12">
        <f t="shared" ca="1" si="16"/>
        <v>899582.30163773592</v>
      </c>
      <c r="U35" s="12">
        <f t="shared" ca="1" si="17"/>
        <v>696497.21755876264</v>
      </c>
      <c r="V35" s="12">
        <f t="shared" ca="1" si="18"/>
        <v>748609.51157023862</v>
      </c>
      <c r="W35" s="12">
        <f t="shared" ca="1" si="19"/>
        <v>666531.74228685594</v>
      </c>
      <c r="X35" s="12">
        <f t="shared" ca="1" si="20"/>
        <v>745470.60111501091</v>
      </c>
      <c r="Y35" s="12">
        <f t="shared" ca="1" si="21"/>
        <v>780067.06047492451</v>
      </c>
      <c r="Z35" s="12">
        <f t="shared" ca="1" si="22"/>
        <v>816193.23009602888</v>
      </c>
      <c r="AA35" s="12">
        <f t="shared" ca="1" si="23"/>
        <v>1018366.760035269</v>
      </c>
      <c r="AB35" s="12">
        <f t="shared" ca="1" si="24"/>
        <v>1029435.9583992426</v>
      </c>
      <c r="AC35" s="12">
        <f t="shared" ca="1" si="25"/>
        <v>1092050.3840114316</v>
      </c>
      <c r="AD35" s="12">
        <f t="shared" ca="1" si="26"/>
        <v>1126124.5323505618</v>
      </c>
      <c r="AE35" s="12">
        <f t="shared" ca="1" si="27"/>
        <v>1339514.7820301016</v>
      </c>
      <c r="AF35" s="12">
        <f t="shared" ca="1" si="28"/>
        <v>1551046.996692793</v>
      </c>
      <c r="AG35" s="12">
        <f t="shared" ca="1" si="29"/>
        <v>1583577.7040666128</v>
      </c>
      <c r="AH35" s="12">
        <f t="shared" ca="1" si="30"/>
        <v>1583577.7040666128</v>
      </c>
    </row>
    <row r="36" spans="2:34" x14ac:dyDescent="0.25">
      <c r="B36" s="6">
        <v>20</v>
      </c>
      <c r="D36" s="12">
        <f t="shared" ca="1" si="0"/>
        <v>190470.07080409542</v>
      </c>
      <c r="E36" s="12">
        <f t="shared" ca="1" si="1"/>
        <v>234435.62089862599</v>
      </c>
      <c r="F36" s="12">
        <f t="shared" ca="1" si="2"/>
        <v>298923.70811753586</v>
      </c>
      <c r="G36" s="12">
        <f t="shared" ca="1" si="3"/>
        <v>324636.51521233848</v>
      </c>
      <c r="H36" s="12">
        <f t="shared" ca="1" si="4"/>
        <v>321899.05570711789</v>
      </c>
      <c r="I36" s="12">
        <f t="shared" ca="1" si="5"/>
        <v>306688.87424009677</v>
      </c>
      <c r="J36" s="12">
        <f t="shared" ca="1" si="6"/>
        <v>396690.71480025072</v>
      </c>
      <c r="K36" s="12">
        <f t="shared" ca="1" si="7"/>
        <v>358530.97863817227</v>
      </c>
      <c r="L36" s="12">
        <f t="shared" ca="1" si="8"/>
        <v>379862.6416445889</v>
      </c>
      <c r="M36" s="12">
        <f t="shared" ca="1" si="9"/>
        <v>387938.36209358607</v>
      </c>
      <c r="N36" s="12">
        <f t="shared" ca="1" si="10"/>
        <v>352037.05704985507</v>
      </c>
      <c r="O36" s="12">
        <f t="shared" ca="1" si="11"/>
        <v>359686.08243955288</v>
      </c>
      <c r="P36" s="12">
        <f t="shared" ca="1" si="12"/>
        <v>429924.9703015759</v>
      </c>
      <c r="Q36" s="12">
        <f t="shared" ca="1" si="13"/>
        <v>517455.63870541839</v>
      </c>
      <c r="R36" s="12">
        <f t="shared" ca="1" si="14"/>
        <v>575107.65976777358</v>
      </c>
      <c r="S36" s="12">
        <f t="shared" ca="1" si="15"/>
        <v>665691.09099934623</v>
      </c>
      <c r="T36" s="12">
        <f t="shared" ca="1" si="16"/>
        <v>792223.39336421492</v>
      </c>
      <c r="U36" s="12">
        <f t="shared" ca="1" si="17"/>
        <v>787998.61628751783</v>
      </c>
      <c r="V36" s="12">
        <f t="shared" ca="1" si="18"/>
        <v>882287.1175798754</v>
      </c>
      <c r="W36" s="12">
        <f t="shared" ca="1" si="19"/>
        <v>949160.26190822688</v>
      </c>
      <c r="X36" s="12">
        <f t="shared" ca="1" si="20"/>
        <v>1027956.972230201</v>
      </c>
      <c r="Y36" s="12">
        <f t="shared" ca="1" si="21"/>
        <v>1055008.4453266845</v>
      </c>
      <c r="Z36" s="12">
        <f t="shared" ca="1" si="22"/>
        <v>1143075.3981553935</v>
      </c>
      <c r="AA36" s="12">
        <f t="shared" ca="1" si="23"/>
        <v>1312061.4883249116</v>
      </c>
      <c r="AB36" s="12">
        <f t="shared" ca="1" si="24"/>
        <v>1446150.824767275</v>
      </c>
      <c r="AC36" s="12">
        <f t="shared" ca="1" si="25"/>
        <v>1661118.7075826172</v>
      </c>
      <c r="AD36" s="12">
        <f t="shared" ca="1" si="26"/>
        <v>1725074.2267707936</v>
      </c>
      <c r="AE36" s="12">
        <f t="shared" ca="1" si="27"/>
        <v>1806855.7779551302</v>
      </c>
      <c r="AF36" s="12">
        <f t="shared" ca="1" si="28"/>
        <v>2011504.314078395</v>
      </c>
      <c r="AG36" s="12">
        <f t="shared" ca="1" si="29"/>
        <v>2376984.6135865054</v>
      </c>
      <c r="AH36" s="12">
        <f t="shared" ca="1" si="30"/>
        <v>2376984.6135865054</v>
      </c>
    </row>
    <row r="37" spans="2:34" x14ac:dyDescent="0.25">
      <c r="B37" s="6">
        <v>21</v>
      </c>
      <c r="D37" s="12">
        <f t="shared" ca="1" si="0"/>
        <v>178827.39842352434</v>
      </c>
      <c r="E37" s="12">
        <f t="shared" ca="1" si="1"/>
        <v>204791.07444244245</v>
      </c>
      <c r="F37" s="12">
        <f t="shared" ca="1" si="2"/>
        <v>263954.64624410728</v>
      </c>
      <c r="G37" s="12">
        <f t="shared" ca="1" si="3"/>
        <v>295999.91964065458</v>
      </c>
      <c r="H37" s="12">
        <f t="shared" ca="1" si="4"/>
        <v>292689.47353382059</v>
      </c>
      <c r="I37" s="12">
        <f t="shared" ca="1" si="5"/>
        <v>315601.7314299469</v>
      </c>
      <c r="J37" s="12">
        <f t="shared" ca="1" si="6"/>
        <v>356409.12171352748</v>
      </c>
      <c r="K37" s="12">
        <f t="shared" ca="1" si="7"/>
        <v>453866.61288472178</v>
      </c>
      <c r="L37" s="12">
        <f t="shared" ca="1" si="8"/>
        <v>453879.86335674161</v>
      </c>
      <c r="M37" s="12">
        <f t="shared" ca="1" si="9"/>
        <v>449714.74858253013</v>
      </c>
      <c r="N37" s="12">
        <f t="shared" ca="1" si="10"/>
        <v>538656.54457756283</v>
      </c>
      <c r="O37" s="12">
        <f t="shared" ca="1" si="11"/>
        <v>574197.44981770706</v>
      </c>
      <c r="P37" s="12">
        <f t="shared" ca="1" si="12"/>
        <v>495467.93135307607</v>
      </c>
      <c r="Q37" s="12">
        <f t="shared" ca="1" si="13"/>
        <v>574236.84406870801</v>
      </c>
      <c r="R37" s="12">
        <f t="shared" ca="1" si="14"/>
        <v>643743.78442712384</v>
      </c>
      <c r="S37" s="12">
        <f t="shared" ca="1" si="15"/>
        <v>695173.49031648203</v>
      </c>
      <c r="T37" s="12">
        <f t="shared" ca="1" si="16"/>
        <v>740975.40134131047</v>
      </c>
      <c r="U37" s="12">
        <f t="shared" ca="1" si="17"/>
        <v>852498.14836256939</v>
      </c>
      <c r="V37" s="12">
        <f t="shared" ca="1" si="18"/>
        <v>1065835.6204466079</v>
      </c>
      <c r="W37" s="12">
        <f t="shared" ca="1" si="19"/>
        <v>1255615.2886088495</v>
      </c>
      <c r="X37" s="12">
        <f t="shared" ca="1" si="20"/>
        <v>1440329.0075670311</v>
      </c>
      <c r="Y37" s="12">
        <f t="shared" ca="1" si="21"/>
        <v>1818151.3423608923</v>
      </c>
      <c r="Z37" s="12">
        <f t="shared" ca="1" si="22"/>
        <v>1756106.5487306439</v>
      </c>
      <c r="AA37" s="12">
        <f t="shared" ca="1" si="23"/>
        <v>2073558.6297731784</v>
      </c>
      <c r="AB37" s="12">
        <f t="shared" ca="1" si="24"/>
        <v>2016687.3714399748</v>
      </c>
      <c r="AC37" s="12">
        <f t="shared" ca="1" si="25"/>
        <v>2163270.9881436117</v>
      </c>
      <c r="AD37" s="12">
        <f t="shared" ca="1" si="26"/>
        <v>1990648.3994672697</v>
      </c>
      <c r="AE37" s="12">
        <f t="shared" ca="1" si="27"/>
        <v>2075032.2955005246</v>
      </c>
      <c r="AF37" s="12">
        <f t="shared" ca="1" si="28"/>
        <v>1912335.6129700749</v>
      </c>
      <c r="AG37" s="12">
        <f t="shared" ca="1" si="29"/>
        <v>1921381.5884996562</v>
      </c>
      <c r="AH37" s="12">
        <f t="shared" ca="1" si="30"/>
        <v>1921381.5884996562</v>
      </c>
    </row>
    <row r="38" spans="2:34" x14ac:dyDescent="0.25">
      <c r="B38" s="6">
        <v>22</v>
      </c>
      <c r="D38" s="12">
        <f t="shared" ca="1" si="0"/>
        <v>173195.83823429694</v>
      </c>
      <c r="E38" s="12">
        <f t="shared" ca="1" si="1"/>
        <v>186078.16503979836</v>
      </c>
      <c r="F38" s="12">
        <f t="shared" ca="1" si="2"/>
        <v>226728.47442842092</v>
      </c>
      <c r="G38" s="12">
        <f t="shared" ca="1" si="3"/>
        <v>261104.38977097033</v>
      </c>
      <c r="H38" s="12">
        <f t="shared" ca="1" si="4"/>
        <v>261928.6169593558</v>
      </c>
      <c r="I38" s="12">
        <f t="shared" ca="1" si="5"/>
        <v>337735.72989043273</v>
      </c>
      <c r="J38" s="12">
        <f t="shared" ca="1" si="6"/>
        <v>342995.37181555625</v>
      </c>
      <c r="K38" s="12">
        <f t="shared" ca="1" si="7"/>
        <v>358158.68603245146</v>
      </c>
      <c r="L38" s="12">
        <f t="shared" ca="1" si="8"/>
        <v>376202.52214774699</v>
      </c>
      <c r="M38" s="12">
        <f t="shared" ca="1" si="9"/>
        <v>456362.90203162102</v>
      </c>
      <c r="N38" s="12">
        <f t="shared" ca="1" si="10"/>
        <v>521298.61287214322</v>
      </c>
      <c r="O38" s="12">
        <f t="shared" ca="1" si="11"/>
        <v>618913.74568097328</v>
      </c>
      <c r="P38" s="12">
        <f t="shared" ca="1" si="12"/>
        <v>717609.9394148764</v>
      </c>
      <c r="Q38" s="12">
        <f t="shared" ca="1" si="13"/>
        <v>811621.72752252989</v>
      </c>
      <c r="R38" s="12">
        <f t="shared" ca="1" si="14"/>
        <v>975023.14315777831</v>
      </c>
      <c r="S38" s="12">
        <f t="shared" ca="1" si="15"/>
        <v>1135521.4974044994</v>
      </c>
      <c r="T38" s="12">
        <f t="shared" ca="1" si="16"/>
        <v>1146711.4700198516</v>
      </c>
      <c r="U38" s="12">
        <f t="shared" ca="1" si="17"/>
        <v>1109742.3551447713</v>
      </c>
      <c r="V38" s="12">
        <f t="shared" ca="1" si="18"/>
        <v>1286869.4783923556</v>
      </c>
      <c r="W38" s="12">
        <f t="shared" ca="1" si="19"/>
        <v>1346956.6788487982</v>
      </c>
      <c r="X38" s="12">
        <f t="shared" ca="1" si="20"/>
        <v>1685911.3981770142</v>
      </c>
      <c r="Y38" s="12">
        <f t="shared" ca="1" si="21"/>
        <v>2245821.6245996463</v>
      </c>
      <c r="Z38" s="12">
        <f t="shared" ca="1" si="22"/>
        <v>2480828.0761423074</v>
      </c>
      <c r="AA38" s="12">
        <f t="shared" ca="1" si="23"/>
        <v>2639702.5206604758</v>
      </c>
      <c r="AB38" s="12">
        <f t="shared" ca="1" si="24"/>
        <v>2486381.7109673922</v>
      </c>
      <c r="AC38" s="12">
        <f t="shared" ca="1" si="25"/>
        <v>2141816.2391015543</v>
      </c>
      <c r="AD38" s="12">
        <f t="shared" ca="1" si="26"/>
        <v>2244057.8055271767</v>
      </c>
      <c r="AE38" s="12">
        <f t="shared" ca="1" si="27"/>
        <v>2871472.2883585151</v>
      </c>
      <c r="AF38" s="12">
        <f t="shared" ca="1" si="28"/>
        <v>3601032.2251086901</v>
      </c>
      <c r="AG38" s="12">
        <f t="shared" ca="1" si="29"/>
        <v>4150047.9222238231</v>
      </c>
      <c r="AH38" s="12">
        <f t="shared" ca="1" si="30"/>
        <v>4150047.9222238231</v>
      </c>
    </row>
    <row r="39" spans="2:34" x14ac:dyDescent="0.25">
      <c r="B39" s="6">
        <v>23</v>
      </c>
      <c r="D39" s="12">
        <f t="shared" ca="1" si="0"/>
        <v>160206.35597529417</v>
      </c>
      <c r="E39" s="12">
        <f t="shared" ca="1" si="1"/>
        <v>190022.17218357051</v>
      </c>
      <c r="F39" s="12">
        <f t="shared" ca="1" si="2"/>
        <v>251725.39788519277</v>
      </c>
      <c r="G39" s="12">
        <f t="shared" ca="1" si="3"/>
        <v>303137.74748328421</v>
      </c>
      <c r="H39" s="12">
        <f t="shared" ca="1" si="4"/>
        <v>321355.0209962466</v>
      </c>
      <c r="I39" s="12">
        <f t="shared" ca="1" si="5"/>
        <v>303714.54246464552</v>
      </c>
      <c r="J39" s="12">
        <f t="shared" ca="1" si="6"/>
        <v>336899.18976415531</v>
      </c>
      <c r="K39" s="12">
        <f t="shared" ca="1" si="7"/>
        <v>376390.94281829993</v>
      </c>
      <c r="L39" s="12">
        <f t="shared" ca="1" si="8"/>
        <v>473314.87934121711</v>
      </c>
      <c r="M39" s="12">
        <f t="shared" ca="1" si="9"/>
        <v>532096.29745468008</v>
      </c>
      <c r="N39" s="12">
        <f t="shared" ca="1" si="10"/>
        <v>552270.16284638282</v>
      </c>
      <c r="O39" s="12">
        <f t="shared" ca="1" si="11"/>
        <v>590249.07339375443</v>
      </c>
      <c r="P39" s="12">
        <f t="shared" ca="1" si="12"/>
        <v>606067.1377958036</v>
      </c>
      <c r="Q39" s="12">
        <f t="shared" ca="1" si="13"/>
        <v>635061.30070688738</v>
      </c>
      <c r="R39" s="12">
        <f t="shared" ca="1" si="14"/>
        <v>722765.12214252213</v>
      </c>
      <c r="S39" s="12">
        <f t="shared" ca="1" si="15"/>
        <v>724105.9292103292</v>
      </c>
      <c r="T39" s="12">
        <f t="shared" ca="1" si="16"/>
        <v>726684.61975344678</v>
      </c>
      <c r="U39" s="12">
        <f t="shared" ca="1" si="17"/>
        <v>736152.67110046698</v>
      </c>
      <c r="V39" s="12">
        <f t="shared" ca="1" si="18"/>
        <v>737982.56921165332</v>
      </c>
      <c r="W39" s="12">
        <f t="shared" ca="1" si="19"/>
        <v>767768.36190417828</v>
      </c>
      <c r="X39" s="12">
        <f t="shared" ca="1" si="20"/>
        <v>810583.85240081639</v>
      </c>
      <c r="Y39" s="12">
        <f t="shared" ca="1" si="21"/>
        <v>774090.062361961</v>
      </c>
      <c r="Z39" s="12">
        <f t="shared" ca="1" si="22"/>
        <v>650212.3235852737</v>
      </c>
      <c r="AA39" s="12">
        <f t="shared" ca="1" si="23"/>
        <v>709361.68976921774</v>
      </c>
      <c r="AB39" s="12">
        <f t="shared" ca="1" si="24"/>
        <v>842308.00241234736</v>
      </c>
      <c r="AC39" s="12">
        <f t="shared" ca="1" si="25"/>
        <v>955538.97769700084</v>
      </c>
      <c r="AD39" s="12">
        <f t="shared" ca="1" si="26"/>
        <v>1335214.3202153428</v>
      </c>
      <c r="AE39" s="12">
        <f t="shared" ca="1" si="27"/>
        <v>1373526.7656731596</v>
      </c>
      <c r="AF39" s="12">
        <f t="shared" ca="1" si="28"/>
        <v>1138258.1763077143</v>
      </c>
      <c r="AG39" s="12">
        <f t="shared" ca="1" si="29"/>
        <v>1337953.8486528005</v>
      </c>
      <c r="AH39" s="12">
        <f t="shared" ca="1" si="30"/>
        <v>1337953.8486528005</v>
      </c>
    </row>
    <row r="40" spans="2:34" x14ac:dyDescent="0.25">
      <c r="B40" s="6">
        <v>24</v>
      </c>
      <c r="D40" s="12">
        <f t="shared" ca="1" si="0"/>
        <v>201660.7864764824</v>
      </c>
      <c r="E40" s="12">
        <f t="shared" ca="1" si="1"/>
        <v>217627.95719756093</v>
      </c>
      <c r="F40" s="12">
        <f t="shared" ca="1" si="2"/>
        <v>233669.80959598583</v>
      </c>
      <c r="G40" s="12">
        <f t="shared" ca="1" si="3"/>
        <v>254777.57859536956</v>
      </c>
      <c r="H40" s="12">
        <f t="shared" ca="1" si="4"/>
        <v>258253.28090911385</v>
      </c>
      <c r="I40" s="12">
        <f t="shared" ca="1" si="5"/>
        <v>237476.84935225721</v>
      </c>
      <c r="J40" s="12">
        <f t="shared" ca="1" si="6"/>
        <v>295080.07537905889</v>
      </c>
      <c r="K40" s="12">
        <f t="shared" ca="1" si="7"/>
        <v>293326.61467663932</v>
      </c>
      <c r="L40" s="12">
        <f t="shared" ca="1" si="8"/>
        <v>314422.23485097097</v>
      </c>
      <c r="M40" s="12">
        <f t="shared" ca="1" si="9"/>
        <v>419049.83064204</v>
      </c>
      <c r="N40" s="12">
        <f t="shared" ca="1" si="10"/>
        <v>466555.81164293486</v>
      </c>
      <c r="O40" s="12">
        <f t="shared" ca="1" si="11"/>
        <v>536508.0492883994</v>
      </c>
      <c r="P40" s="12">
        <f t="shared" ca="1" si="12"/>
        <v>639435.16870688472</v>
      </c>
      <c r="Q40" s="12">
        <f t="shared" ca="1" si="13"/>
        <v>716393.90137163398</v>
      </c>
      <c r="R40" s="12">
        <f t="shared" ca="1" si="14"/>
        <v>694321.06633123755</v>
      </c>
      <c r="S40" s="12">
        <f t="shared" ca="1" si="15"/>
        <v>779216.31621455145</v>
      </c>
      <c r="T40" s="12">
        <f t="shared" ca="1" si="16"/>
        <v>975010.61472718569</v>
      </c>
      <c r="U40" s="12">
        <f t="shared" ca="1" si="17"/>
        <v>1059673.8487884151</v>
      </c>
      <c r="V40" s="12">
        <f t="shared" ca="1" si="18"/>
        <v>1237926.8168933946</v>
      </c>
      <c r="W40" s="12">
        <f t="shared" ca="1" si="19"/>
        <v>1200175.9306888999</v>
      </c>
      <c r="X40" s="12">
        <f t="shared" ca="1" si="20"/>
        <v>1222598.2332978596</v>
      </c>
      <c r="Y40" s="12">
        <f t="shared" ca="1" si="21"/>
        <v>1328316.1023010893</v>
      </c>
      <c r="Z40" s="12">
        <f t="shared" ca="1" si="22"/>
        <v>1452014.2229163672</v>
      </c>
      <c r="AA40" s="12">
        <f t="shared" ca="1" si="23"/>
        <v>1458345.2241058745</v>
      </c>
      <c r="AB40" s="12">
        <f t="shared" ca="1" si="24"/>
        <v>1718344.301528964</v>
      </c>
      <c r="AC40" s="12">
        <f t="shared" ca="1" si="25"/>
        <v>1484291.2395646262</v>
      </c>
      <c r="AD40" s="12">
        <f t="shared" ca="1" si="26"/>
        <v>1604329.1835070197</v>
      </c>
      <c r="AE40" s="12">
        <f t="shared" ca="1" si="27"/>
        <v>2026264.9881115956</v>
      </c>
      <c r="AF40" s="12">
        <f t="shared" ca="1" si="28"/>
        <v>1906233.7079446309</v>
      </c>
      <c r="AG40" s="12">
        <f t="shared" ca="1" si="29"/>
        <v>2475852.1526494101</v>
      </c>
      <c r="AH40" s="12">
        <f t="shared" ca="1" si="30"/>
        <v>2475852.1526494101</v>
      </c>
    </row>
    <row r="41" spans="2:34" x14ac:dyDescent="0.25">
      <c r="B41" s="6">
        <v>25</v>
      </c>
      <c r="D41" s="12">
        <f t="shared" ca="1" si="0"/>
        <v>169873.85462310066</v>
      </c>
      <c r="E41" s="12">
        <f t="shared" ca="1" si="1"/>
        <v>179749.56785658468</v>
      </c>
      <c r="F41" s="12">
        <f t="shared" ca="1" si="2"/>
        <v>196153.80333502966</v>
      </c>
      <c r="G41" s="12">
        <f t="shared" ca="1" si="3"/>
        <v>218614.18464652976</v>
      </c>
      <c r="H41" s="12">
        <f t="shared" ca="1" si="4"/>
        <v>292248.06016410742</v>
      </c>
      <c r="I41" s="12">
        <f t="shared" ca="1" si="5"/>
        <v>348166.11369274178</v>
      </c>
      <c r="J41" s="12">
        <f t="shared" ca="1" si="6"/>
        <v>443622.54727411311</v>
      </c>
      <c r="K41" s="12">
        <f t="shared" ca="1" si="7"/>
        <v>438645.54581225268</v>
      </c>
      <c r="L41" s="12">
        <f t="shared" ca="1" si="8"/>
        <v>355366.36116392753</v>
      </c>
      <c r="M41" s="12">
        <f t="shared" ca="1" si="9"/>
        <v>399399.52324071783</v>
      </c>
      <c r="N41" s="12">
        <f t="shared" ca="1" si="10"/>
        <v>442868.61763980641</v>
      </c>
      <c r="O41" s="12">
        <f t="shared" ca="1" si="11"/>
        <v>512540.60374603374</v>
      </c>
      <c r="P41" s="12">
        <f t="shared" ca="1" si="12"/>
        <v>683712.16967363877</v>
      </c>
      <c r="Q41" s="12">
        <f t="shared" ca="1" si="13"/>
        <v>750470.02546405105</v>
      </c>
      <c r="R41" s="12">
        <f t="shared" ca="1" si="14"/>
        <v>771721.68675949681</v>
      </c>
      <c r="S41" s="12">
        <f t="shared" ca="1" si="15"/>
        <v>961619.18865826982</v>
      </c>
      <c r="T41" s="12">
        <f t="shared" ca="1" si="16"/>
        <v>1038158.5496087867</v>
      </c>
      <c r="U41" s="12">
        <f t="shared" ca="1" si="17"/>
        <v>1084132.6788947061</v>
      </c>
      <c r="V41" s="12">
        <f t="shared" ca="1" si="18"/>
        <v>1177426.1673992581</v>
      </c>
      <c r="W41" s="12">
        <f t="shared" ca="1" si="19"/>
        <v>1059659.0559089887</v>
      </c>
      <c r="X41" s="12">
        <f t="shared" ca="1" si="20"/>
        <v>1200504.011156826</v>
      </c>
      <c r="Y41" s="12">
        <f t="shared" ca="1" si="21"/>
        <v>1354984.6266164514</v>
      </c>
      <c r="Z41" s="12">
        <f t="shared" ca="1" si="22"/>
        <v>1745995.8961384473</v>
      </c>
      <c r="AA41" s="12">
        <f t="shared" ca="1" si="23"/>
        <v>1524036.6566642069</v>
      </c>
      <c r="AB41" s="12">
        <f t="shared" ca="1" si="24"/>
        <v>1556809.8586126789</v>
      </c>
      <c r="AC41" s="12">
        <f t="shared" ca="1" si="25"/>
        <v>1898857.9361098218</v>
      </c>
      <c r="AD41" s="12">
        <f t="shared" ca="1" si="26"/>
        <v>1842274.6711472436</v>
      </c>
      <c r="AE41" s="12">
        <f t="shared" ca="1" si="27"/>
        <v>1980925.5019163641</v>
      </c>
      <c r="AF41" s="12">
        <f t="shared" ca="1" si="28"/>
        <v>1802752.0430785383</v>
      </c>
      <c r="AG41" s="12">
        <f t="shared" ca="1" si="29"/>
        <v>2112463.8384858407</v>
      </c>
      <c r="AH41" s="12">
        <f t="shared" ca="1" si="30"/>
        <v>2112463.8384858407</v>
      </c>
    </row>
    <row r="42" spans="2:34" x14ac:dyDescent="0.25">
      <c r="B42" s="6">
        <v>26</v>
      </c>
      <c r="D42" s="12">
        <f t="shared" ca="1" si="0"/>
        <v>194856.43512772964</v>
      </c>
      <c r="E42" s="12">
        <f t="shared" ca="1" si="1"/>
        <v>216258.94342006336</v>
      </c>
      <c r="F42" s="12">
        <f t="shared" ca="1" si="2"/>
        <v>281421.88525751961</v>
      </c>
      <c r="G42" s="12">
        <f t="shared" ca="1" si="3"/>
        <v>308148.30370543321</v>
      </c>
      <c r="H42" s="12">
        <f t="shared" ca="1" si="4"/>
        <v>290676.3372090084</v>
      </c>
      <c r="I42" s="12">
        <f t="shared" ca="1" si="5"/>
        <v>306491.57390421722</v>
      </c>
      <c r="J42" s="12">
        <f t="shared" ca="1" si="6"/>
        <v>337523.73126341205</v>
      </c>
      <c r="K42" s="12">
        <f t="shared" ca="1" si="7"/>
        <v>365954.48377514991</v>
      </c>
      <c r="L42" s="12">
        <f t="shared" ca="1" si="8"/>
        <v>400896.93023705378</v>
      </c>
      <c r="M42" s="12">
        <f t="shared" ca="1" si="9"/>
        <v>467093.40350483987</v>
      </c>
      <c r="N42" s="12">
        <f t="shared" ca="1" si="10"/>
        <v>374827.48669137264</v>
      </c>
      <c r="O42" s="12">
        <f t="shared" ca="1" si="11"/>
        <v>452427.12185787607</v>
      </c>
      <c r="P42" s="12">
        <f t="shared" ca="1" si="12"/>
        <v>497147.47337141901</v>
      </c>
      <c r="Q42" s="12">
        <f t="shared" ca="1" si="13"/>
        <v>554183.32650680142</v>
      </c>
      <c r="R42" s="12">
        <f t="shared" ca="1" si="14"/>
        <v>725740.28753344819</v>
      </c>
      <c r="S42" s="12">
        <f t="shared" ca="1" si="15"/>
        <v>851555.13879369106</v>
      </c>
      <c r="T42" s="12">
        <f t="shared" ca="1" si="16"/>
        <v>965401.31667287659</v>
      </c>
      <c r="U42" s="12">
        <f t="shared" ca="1" si="17"/>
        <v>939381.11481175688</v>
      </c>
      <c r="V42" s="12">
        <f t="shared" ca="1" si="18"/>
        <v>964206.26348759036</v>
      </c>
      <c r="W42" s="12">
        <f t="shared" ca="1" si="19"/>
        <v>1074011.2840966024</v>
      </c>
      <c r="X42" s="12">
        <f t="shared" ca="1" si="20"/>
        <v>993824.77515861334</v>
      </c>
      <c r="Y42" s="12">
        <f t="shared" ca="1" si="21"/>
        <v>909430.38934458001</v>
      </c>
      <c r="Z42" s="12">
        <f t="shared" ca="1" si="22"/>
        <v>935329.13416518969</v>
      </c>
      <c r="AA42" s="12">
        <f t="shared" ca="1" si="23"/>
        <v>992500.88041464647</v>
      </c>
      <c r="AB42" s="12">
        <f t="shared" ca="1" si="24"/>
        <v>1183311.1294631667</v>
      </c>
      <c r="AC42" s="12">
        <f t="shared" ca="1" si="25"/>
        <v>1421953.6025798363</v>
      </c>
      <c r="AD42" s="12">
        <f t="shared" ca="1" si="26"/>
        <v>1673752.7257846685</v>
      </c>
      <c r="AE42" s="12">
        <f t="shared" ca="1" si="27"/>
        <v>1856760.2222546516</v>
      </c>
      <c r="AF42" s="12">
        <f t="shared" ca="1" si="28"/>
        <v>1945433.496040046</v>
      </c>
      <c r="AG42" s="12">
        <f t="shared" ca="1" si="29"/>
        <v>2372549.0948845162</v>
      </c>
      <c r="AH42" s="12">
        <f t="shared" ca="1" si="30"/>
        <v>2372549.0948845162</v>
      </c>
    </row>
    <row r="43" spans="2:34" x14ac:dyDescent="0.25">
      <c r="B43" s="6">
        <v>27</v>
      </c>
      <c r="D43" s="12">
        <f t="shared" ca="1" si="0"/>
        <v>178578.88639996207</v>
      </c>
      <c r="E43" s="12">
        <f t="shared" ca="1" si="1"/>
        <v>195966.12407853594</v>
      </c>
      <c r="F43" s="12">
        <f t="shared" ca="1" si="2"/>
        <v>260032.84289621838</v>
      </c>
      <c r="G43" s="12">
        <f t="shared" ca="1" si="3"/>
        <v>296191.33073941385</v>
      </c>
      <c r="H43" s="12">
        <f t="shared" ca="1" si="4"/>
        <v>323636.06492656609</v>
      </c>
      <c r="I43" s="12">
        <f t="shared" ca="1" si="5"/>
        <v>349007.98969793913</v>
      </c>
      <c r="J43" s="12">
        <f t="shared" ca="1" si="6"/>
        <v>413144.03812233167</v>
      </c>
      <c r="K43" s="12">
        <f t="shared" ca="1" si="7"/>
        <v>500384.82944916049</v>
      </c>
      <c r="L43" s="12">
        <f t="shared" ca="1" si="8"/>
        <v>601339.85305084556</v>
      </c>
      <c r="M43" s="12">
        <f t="shared" ca="1" si="9"/>
        <v>595375.28717057279</v>
      </c>
      <c r="N43" s="12">
        <f t="shared" ca="1" si="10"/>
        <v>698171.78644408332</v>
      </c>
      <c r="O43" s="12">
        <f t="shared" ca="1" si="11"/>
        <v>822679.47550246119</v>
      </c>
      <c r="P43" s="12">
        <f t="shared" ca="1" si="12"/>
        <v>1007766.7885751883</v>
      </c>
      <c r="Q43" s="12">
        <f t="shared" ca="1" si="13"/>
        <v>1155177.1652890428</v>
      </c>
      <c r="R43" s="12">
        <f t="shared" ca="1" si="14"/>
        <v>1381033.7990577498</v>
      </c>
      <c r="S43" s="12">
        <f t="shared" ca="1" si="15"/>
        <v>1284530.8469507506</v>
      </c>
      <c r="T43" s="12">
        <f t="shared" ca="1" si="16"/>
        <v>1562628.6473391615</v>
      </c>
      <c r="U43" s="12">
        <f t="shared" ca="1" si="17"/>
        <v>1667650.6658797949</v>
      </c>
      <c r="V43" s="12">
        <f t="shared" ca="1" si="18"/>
        <v>1562735.0793840457</v>
      </c>
      <c r="W43" s="12">
        <f t="shared" ca="1" si="19"/>
        <v>1726252.9411237307</v>
      </c>
      <c r="X43" s="12">
        <f t="shared" ca="1" si="20"/>
        <v>1609444.6268510667</v>
      </c>
      <c r="Y43" s="12">
        <f t="shared" ca="1" si="21"/>
        <v>1406211.0230687882</v>
      </c>
      <c r="Z43" s="12">
        <f t="shared" ca="1" si="22"/>
        <v>1427988.1931041577</v>
      </c>
      <c r="AA43" s="12">
        <f t="shared" ca="1" si="23"/>
        <v>1601007.8173211429</v>
      </c>
      <c r="AB43" s="12">
        <f t="shared" ca="1" si="24"/>
        <v>1856324.7917841382</v>
      </c>
      <c r="AC43" s="12">
        <f t="shared" ca="1" si="25"/>
        <v>2030782.8644719967</v>
      </c>
      <c r="AD43" s="12">
        <f t="shared" ca="1" si="26"/>
        <v>2595584.1295889649</v>
      </c>
      <c r="AE43" s="12">
        <f t="shared" ca="1" si="27"/>
        <v>2772015.1945363716</v>
      </c>
      <c r="AF43" s="12">
        <f t="shared" ca="1" si="28"/>
        <v>2878543.8302155584</v>
      </c>
      <c r="AG43" s="12">
        <f t="shared" ca="1" si="29"/>
        <v>3046822.7945397706</v>
      </c>
      <c r="AH43" s="12">
        <f t="shared" ca="1" si="30"/>
        <v>3046822.7945397706</v>
      </c>
    </row>
    <row r="44" spans="2:34" x14ac:dyDescent="0.25">
      <c r="B44" s="6">
        <v>28</v>
      </c>
      <c r="D44" s="12">
        <f t="shared" ca="1" si="0"/>
        <v>178731.95760165571</v>
      </c>
      <c r="E44" s="12">
        <f t="shared" ca="1" si="1"/>
        <v>213161.6751805697</v>
      </c>
      <c r="F44" s="12">
        <f t="shared" ca="1" si="2"/>
        <v>229159.07800909813</v>
      </c>
      <c r="G44" s="12">
        <f t="shared" ca="1" si="3"/>
        <v>269399.90355556301</v>
      </c>
      <c r="H44" s="12">
        <f t="shared" ca="1" si="4"/>
        <v>319408.1885601019</v>
      </c>
      <c r="I44" s="12">
        <f t="shared" ca="1" si="5"/>
        <v>432068.84195972543</v>
      </c>
      <c r="J44" s="12">
        <f t="shared" ca="1" si="6"/>
        <v>449154.92701161967</v>
      </c>
      <c r="K44" s="12">
        <f t="shared" ca="1" si="7"/>
        <v>529181.75989698782</v>
      </c>
      <c r="L44" s="12">
        <f t="shared" ca="1" si="8"/>
        <v>633679.91936701059</v>
      </c>
      <c r="M44" s="12">
        <f t="shared" ca="1" si="9"/>
        <v>922183.95362815412</v>
      </c>
      <c r="N44" s="12">
        <f t="shared" ca="1" si="10"/>
        <v>1069891.1483847634</v>
      </c>
      <c r="O44" s="12">
        <f t="shared" ca="1" si="11"/>
        <v>1186308.7408953249</v>
      </c>
      <c r="P44" s="12">
        <f t="shared" ca="1" si="12"/>
        <v>1422640.2027653484</v>
      </c>
      <c r="Q44" s="12">
        <f t="shared" ca="1" si="13"/>
        <v>1784970.7919942769</v>
      </c>
      <c r="R44" s="12">
        <f t="shared" ca="1" si="14"/>
        <v>2001614.554970098</v>
      </c>
      <c r="S44" s="12">
        <f t="shared" ca="1" si="15"/>
        <v>1755865.2621264711</v>
      </c>
      <c r="T44" s="12">
        <f t="shared" ca="1" si="16"/>
        <v>1615472.9535070753</v>
      </c>
      <c r="U44" s="12">
        <f t="shared" ca="1" si="17"/>
        <v>2149116.4432774284</v>
      </c>
      <c r="V44" s="12">
        <f t="shared" ca="1" si="18"/>
        <v>2568412.9605755517</v>
      </c>
      <c r="W44" s="12">
        <f t="shared" ca="1" si="19"/>
        <v>2496529.0218317173</v>
      </c>
      <c r="X44" s="12">
        <f t="shared" ca="1" si="20"/>
        <v>2912969.3278847258</v>
      </c>
      <c r="Y44" s="12">
        <f t="shared" ca="1" si="21"/>
        <v>3035788.0382219492</v>
      </c>
      <c r="Z44" s="12">
        <f t="shared" ca="1" si="22"/>
        <v>3177462.9230523794</v>
      </c>
      <c r="AA44" s="12">
        <f t="shared" ca="1" si="23"/>
        <v>3079134.6466691778</v>
      </c>
      <c r="AB44" s="12">
        <f t="shared" ca="1" si="24"/>
        <v>2625614.3144738143</v>
      </c>
      <c r="AC44" s="12">
        <f t="shared" ca="1" si="25"/>
        <v>2735308.3838101723</v>
      </c>
      <c r="AD44" s="12">
        <f t="shared" ca="1" si="26"/>
        <v>2301340.0626910864</v>
      </c>
      <c r="AE44" s="12">
        <f t="shared" ca="1" si="27"/>
        <v>2245297.3641829253</v>
      </c>
      <c r="AF44" s="12">
        <f t="shared" ca="1" si="28"/>
        <v>2114779.5273881983</v>
      </c>
      <c r="AG44" s="12">
        <f t="shared" ca="1" si="29"/>
        <v>2226595.9723741221</v>
      </c>
      <c r="AH44" s="12">
        <f t="shared" ca="1" si="30"/>
        <v>2226595.9723741221</v>
      </c>
    </row>
    <row r="45" spans="2:34" x14ac:dyDescent="0.25">
      <c r="B45" s="6">
        <v>29</v>
      </c>
      <c r="D45" s="12">
        <f t="shared" ca="1" si="0"/>
        <v>204099.26774675684</v>
      </c>
      <c r="E45" s="12">
        <f t="shared" ca="1" si="1"/>
        <v>206155.35622930416</v>
      </c>
      <c r="F45" s="12">
        <f t="shared" ca="1" si="2"/>
        <v>240312.44549241429</v>
      </c>
      <c r="G45" s="12">
        <f t="shared" ca="1" si="3"/>
        <v>306336.38828440791</v>
      </c>
      <c r="H45" s="12">
        <f t="shared" ca="1" si="4"/>
        <v>279454.27084997797</v>
      </c>
      <c r="I45" s="12">
        <f t="shared" ca="1" si="5"/>
        <v>336616.62854868057</v>
      </c>
      <c r="J45" s="12">
        <f t="shared" ca="1" si="6"/>
        <v>394867.19207211799</v>
      </c>
      <c r="K45" s="12">
        <f t="shared" ca="1" si="7"/>
        <v>401257.36165608204</v>
      </c>
      <c r="L45" s="12">
        <f t="shared" ca="1" si="8"/>
        <v>454496.04928945139</v>
      </c>
      <c r="M45" s="12">
        <f t="shared" ca="1" si="9"/>
        <v>554245.59665621014</v>
      </c>
      <c r="N45" s="12">
        <f t="shared" ca="1" si="10"/>
        <v>671910.47373935871</v>
      </c>
      <c r="O45" s="12">
        <f t="shared" ca="1" si="11"/>
        <v>631597.41650013137</v>
      </c>
      <c r="P45" s="12">
        <f t="shared" ca="1" si="12"/>
        <v>670114.93625037605</v>
      </c>
      <c r="Q45" s="12">
        <f t="shared" ca="1" si="13"/>
        <v>561223.52782159194</v>
      </c>
      <c r="R45" s="12">
        <f t="shared" ca="1" si="14"/>
        <v>663340.94779911626</v>
      </c>
      <c r="S45" s="12">
        <f t="shared" ca="1" si="15"/>
        <v>746318.64557904494</v>
      </c>
      <c r="T45" s="12">
        <f t="shared" ca="1" si="16"/>
        <v>828619.2238681548</v>
      </c>
      <c r="U45" s="12">
        <f t="shared" ca="1" si="17"/>
        <v>992093.01719805552</v>
      </c>
      <c r="V45" s="12">
        <f t="shared" ca="1" si="18"/>
        <v>1074262.0706234444</v>
      </c>
      <c r="W45" s="12">
        <f t="shared" ca="1" si="19"/>
        <v>993309.63163085713</v>
      </c>
      <c r="X45" s="12">
        <f t="shared" ca="1" si="20"/>
        <v>1102646.6271175696</v>
      </c>
      <c r="Y45" s="12">
        <f t="shared" ca="1" si="21"/>
        <v>1158151.5671323533</v>
      </c>
      <c r="Z45" s="12">
        <f t="shared" ca="1" si="22"/>
        <v>1148743.727039618</v>
      </c>
      <c r="AA45" s="12">
        <f t="shared" ca="1" si="23"/>
        <v>1198979.8050057373</v>
      </c>
      <c r="AB45" s="12">
        <f t="shared" ca="1" si="24"/>
        <v>1517613.0407334983</v>
      </c>
      <c r="AC45" s="12">
        <f t="shared" ca="1" si="25"/>
        <v>1472421.0256387827</v>
      </c>
      <c r="AD45" s="12">
        <f t="shared" ca="1" si="26"/>
        <v>1928045.1246257562</v>
      </c>
      <c r="AE45" s="12">
        <f t="shared" ca="1" si="27"/>
        <v>1978580.4205289315</v>
      </c>
      <c r="AF45" s="12">
        <f t="shared" ca="1" si="28"/>
        <v>1974379.3834316146</v>
      </c>
      <c r="AG45" s="12">
        <f t="shared" ca="1" si="29"/>
        <v>1890260.7871113424</v>
      </c>
      <c r="AH45" s="12">
        <f t="shared" ca="1" si="30"/>
        <v>1890260.7871113424</v>
      </c>
    </row>
    <row r="46" spans="2:34" x14ac:dyDescent="0.25">
      <c r="B46" s="6">
        <v>30</v>
      </c>
      <c r="D46" s="12">
        <f t="shared" ca="1" si="0"/>
        <v>190352.04593281957</v>
      </c>
      <c r="E46" s="12">
        <f t="shared" ca="1" si="1"/>
        <v>215869.72861454258</v>
      </c>
      <c r="F46" s="12">
        <f t="shared" ca="1" si="2"/>
        <v>202709.21624832688</v>
      </c>
      <c r="G46" s="12">
        <f t="shared" ca="1" si="3"/>
        <v>249020.41058945077</v>
      </c>
      <c r="H46" s="12">
        <f t="shared" ca="1" si="4"/>
        <v>290951.3862737646</v>
      </c>
      <c r="I46" s="12">
        <f t="shared" ca="1" si="5"/>
        <v>319829.70900568337</v>
      </c>
      <c r="J46" s="12">
        <f t="shared" ca="1" si="6"/>
        <v>309514.16465626925</v>
      </c>
      <c r="K46" s="12">
        <f t="shared" ca="1" si="7"/>
        <v>312183.41715300712</v>
      </c>
      <c r="L46" s="12">
        <f t="shared" ca="1" si="8"/>
        <v>343568.97156757902</v>
      </c>
      <c r="M46" s="12">
        <f t="shared" ca="1" si="9"/>
        <v>408601.62360261666</v>
      </c>
      <c r="N46" s="12">
        <f t="shared" ca="1" si="10"/>
        <v>370874.92242262576</v>
      </c>
      <c r="O46" s="12">
        <f t="shared" ca="1" si="11"/>
        <v>435533.95910472295</v>
      </c>
      <c r="P46" s="12">
        <f t="shared" ca="1" si="12"/>
        <v>536806.27354078542</v>
      </c>
      <c r="Q46" s="12">
        <f t="shared" ca="1" si="13"/>
        <v>583810.66037584038</v>
      </c>
      <c r="R46" s="12">
        <f t="shared" ca="1" si="14"/>
        <v>555835.91650535644</v>
      </c>
      <c r="S46" s="12">
        <f t="shared" ca="1" si="15"/>
        <v>578250.47870977153</v>
      </c>
      <c r="T46" s="12">
        <f t="shared" ca="1" si="16"/>
        <v>642833.10742442415</v>
      </c>
      <c r="U46" s="12">
        <f t="shared" ca="1" si="17"/>
        <v>824524.97477351641</v>
      </c>
      <c r="V46" s="12">
        <f t="shared" ca="1" si="18"/>
        <v>783674.52625582449</v>
      </c>
      <c r="W46" s="12">
        <f t="shared" ca="1" si="19"/>
        <v>958581.13321136381</v>
      </c>
      <c r="X46" s="12">
        <f t="shared" ca="1" si="20"/>
        <v>1177629.7012891499</v>
      </c>
      <c r="Y46" s="12">
        <f t="shared" ca="1" si="21"/>
        <v>1070142.2514494597</v>
      </c>
      <c r="Z46" s="12">
        <f t="shared" ca="1" si="22"/>
        <v>994901.37276062928</v>
      </c>
      <c r="AA46" s="12">
        <f t="shared" ca="1" si="23"/>
        <v>1016613.2585744294</v>
      </c>
      <c r="AB46" s="12">
        <f t="shared" ca="1" si="24"/>
        <v>1188978.6616678941</v>
      </c>
      <c r="AC46" s="12">
        <f t="shared" ca="1" si="25"/>
        <v>1409922.1519955408</v>
      </c>
      <c r="AD46" s="12">
        <f t="shared" ca="1" si="26"/>
        <v>1254249.0776885289</v>
      </c>
      <c r="AE46" s="12">
        <f t="shared" ca="1" si="27"/>
        <v>1319329.7680231198</v>
      </c>
      <c r="AF46" s="12">
        <f t="shared" ca="1" si="28"/>
        <v>1446998.939855831</v>
      </c>
      <c r="AG46" s="12">
        <f t="shared" ca="1" si="29"/>
        <v>1399263.7378735226</v>
      </c>
      <c r="AH46" s="12">
        <f t="shared" ca="1" si="30"/>
        <v>1399263.7378735226</v>
      </c>
    </row>
    <row r="47" spans="2:34" x14ac:dyDescent="0.25">
      <c r="B47" s="6">
        <v>31</v>
      </c>
      <c r="D47" s="12">
        <f t="shared" ca="1" si="0"/>
        <v>207082.19780852285</v>
      </c>
      <c r="E47" s="12">
        <f t="shared" ca="1" si="1"/>
        <v>284278.76062471076</v>
      </c>
      <c r="F47" s="12">
        <f t="shared" ca="1" si="2"/>
        <v>349909.70108813082</v>
      </c>
      <c r="G47" s="12">
        <f t="shared" ca="1" si="3"/>
        <v>428922.8508869434</v>
      </c>
      <c r="H47" s="12">
        <f t="shared" ca="1" si="4"/>
        <v>491130.06645850238</v>
      </c>
      <c r="I47" s="12">
        <f t="shared" ca="1" si="5"/>
        <v>524140.77123559226</v>
      </c>
      <c r="J47" s="12">
        <f t="shared" ca="1" si="6"/>
        <v>576889.86233973282</v>
      </c>
      <c r="K47" s="12">
        <f t="shared" ca="1" si="7"/>
        <v>490443.18401664309</v>
      </c>
      <c r="L47" s="12">
        <f t="shared" ca="1" si="8"/>
        <v>539896.37073644716</v>
      </c>
      <c r="M47" s="12">
        <f t="shared" ca="1" si="9"/>
        <v>572756.05686737306</v>
      </c>
      <c r="N47" s="12">
        <f t="shared" ca="1" si="10"/>
        <v>684618.01644461765</v>
      </c>
      <c r="O47" s="12">
        <f t="shared" ca="1" si="11"/>
        <v>754488.41658467369</v>
      </c>
      <c r="P47" s="12">
        <f t="shared" ca="1" si="12"/>
        <v>797918.66137280036</v>
      </c>
      <c r="Q47" s="12">
        <f t="shared" ca="1" si="13"/>
        <v>858209.4624615761</v>
      </c>
      <c r="R47" s="12">
        <f t="shared" ca="1" si="14"/>
        <v>1005012.6359270887</v>
      </c>
      <c r="S47" s="12">
        <f t="shared" ca="1" si="15"/>
        <v>1209315.2320956178</v>
      </c>
      <c r="T47" s="12">
        <f t="shared" ca="1" si="16"/>
        <v>1342007.2297040876</v>
      </c>
      <c r="U47" s="12">
        <f t="shared" ca="1" si="17"/>
        <v>1506448.0298053171</v>
      </c>
      <c r="V47" s="12">
        <f t="shared" ca="1" si="18"/>
        <v>1863339.3374411862</v>
      </c>
      <c r="W47" s="12">
        <f t="shared" ca="1" si="19"/>
        <v>1970599.167505234</v>
      </c>
      <c r="X47" s="12">
        <f t="shared" ca="1" si="20"/>
        <v>2240680.1713490621</v>
      </c>
      <c r="Y47" s="12">
        <f t="shared" ca="1" si="21"/>
        <v>2034293.4550358546</v>
      </c>
      <c r="Z47" s="12">
        <f t="shared" ca="1" si="22"/>
        <v>2441792.6034192527</v>
      </c>
      <c r="AA47" s="12">
        <f t="shared" ca="1" si="23"/>
        <v>2814352.6544110794</v>
      </c>
      <c r="AB47" s="12">
        <f t="shared" ca="1" si="24"/>
        <v>3241788.5739389863</v>
      </c>
      <c r="AC47" s="12">
        <f t="shared" ca="1" si="25"/>
        <v>4228584.8242532266</v>
      </c>
      <c r="AD47" s="12">
        <f t="shared" ca="1" si="26"/>
        <v>4213980.333163783</v>
      </c>
      <c r="AE47" s="12">
        <f t="shared" ca="1" si="27"/>
        <v>4550175.1735257683</v>
      </c>
      <c r="AF47" s="12">
        <f t="shared" ca="1" si="28"/>
        <v>4449918.7211959334</v>
      </c>
      <c r="AG47" s="12">
        <f t="shared" ca="1" si="29"/>
        <v>4065194.5348735647</v>
      </c>
      <c r="AH47" s="12">
        <f t="shared" ca="1" si="30"/>
        <v>4065194.5348735647</v>
      </c>
    </row>
    <row r="48" spans="2:34" x14ac:dyDescent="0.25">
      <c r="B48" s="6">
        <v>32</v>
      </c>
      <c r="D48" s="12">
        <f t="shared" ca="1" si="0"/>
        <v>184415.18596173546</v>
      </c>
      <c r="E48" s="12">
        <f t="shared" ca="1" si="1"/>
        <v>200871.20682648465</v>
      </c>
      <c r="F48" s="12">
        <f t="shared" ca="1" si="2"/>
        <v>242733.71605615021</v>
      </c>
      <c r="G48" s="12">
        <f t="shared" ca="1" si="3"/>
        <v>269427.58567522164</v>
      </c>
      <c r="H48" s="12">
        <f t="shared" ca="1" si="4"/>
        <v>287635.43209204788</v>
      </c>
      <c r="I48" s="12">
        <f t="shared" ca="1" si="5"/>
        <v>302313.38052968128</v>
      </c>
      <c r="J48" s="12">
        <f t="shared" ca="1" si="6"/>
        <v>378328.95454893733</v>
      </c>
      <c r="K48" s="12">
        <f t="shared" ca="1" si="7"/>
        <v>467287.12465349137</v>
      </c>
      <c r="L48" s="12">
        <f t="shared" ca="1" si="8"/>
        <v>328922.36550813745</v>
      </c>
      <c r="M48" s="12">
        <f t="shared" ca="1" si="9"/>
        <v>394766.49740636244</v>
      </c>
      <c r="N48" s="12">
        <f t="shared" ca="1" si="10"/>
        <v>432087.74411615345</v>
      </c>
      <c r="O48" s="12">
        <f t="shared" ca="1" si="11"/>
        <v>524936.41661445354</v>
      </c>
      <c r="P48" s="12">
        <f t="shared" ca="1" si="12"/>
        <v>616533.44953416009</v>
      </c>
      <c r="Q48" s="12">
        <f t="shared" ca="1" si="13"/>
        <v>727003.87466061476</v>
      </c>
      <c r="R48" s="12">
        <f t="shared" ca="1" si="14"/>
        <v>782166.12233998661</v>
      </c>
      <c r="S48" s="12">
        <f t="shared" ca="1" si="15"/>
        <v>722379.18456912111</v>
      </c>
      <c r="T48" s="12">
        <f t="shared" ca="1" si="16"/>
        <v>713870.53333806247</v>
      </c>
      <c r="U48" s="12">
        <f t="shared" ca="1" si="17"/>
        <v>702404.62521218974</v>
      </c>
      <c r="V48" s="12">
        <f t="shared" ca="1" si="18"/>
        <v>741749.40114791668</v>
      </c>
      <c r="W48" s="12">
        <f t="shared" ca="1" si="19"/>
        <v>760177.09512298135</v>
      </c>
      <c r="X48" s="12">
        <f t="shared" ca="1" si="20"/>
        <v>893041.82123945269</v>
      </c>
      <c r="Y48" s="12">
        <f t="shared" ca="1" si="21"/>
        <v>940216.62256195652</v>
      </c>
      <c r="Z48" s="12">
        <f t="shared" ca="1" si="22"/>
        <v>1194927.4689782753</v>
      </c>
      <c r="AA48" s="12">
        <f t="shared" ca="1" si="23"/>
        <v>1280431.8446387292</v>
      </c>
      <c r="AB48" s="12">
        <f t="shared" ca="1" si="24"/>
        <v>1202310.4036008285</v>
      </c>
      <c r="AC48" s="12">
        <f t="shared" ca="1" si="25"/>
        <v>1149718.4297111141</v>
      </c>
      <c r="AD48" s="12">
        <f t="shared" ca="1" si="26"/>
        <v>1624711.9441876549</v>
      </c>
      <c r="AE48" s="12">
        <f t="shared" ca="1" si="27"/>
        <v>2297158.3308153823</v>
      </c>
      <c r="AF48" s="12">
        <f t="shared" ca="1" si="28"/>
        <v>2542514.9692227221</v>
      </c>
      <c r="AG48" s="12">
        <f t="shared" ca="1" si="29"/>
        <v>2705424.4214887079</v>
      </c>
      <c r="AH48" s="12">
        <f t="shared" ca="1" si="30"/>
        <v>2705424.4214887079</v>
      </c>
    </row>
    <row r="49" spans="2:34" x14ac:dyDescent="0.25">
      <c r="B49" s="6">
        <v>33</v>
      </c>
      <c r="D49" s="12">
        <f t="shared" ref="D49:D80" ca="1" si="31">$C$5*(1+NORMINV(RAND(),$C$8,$C$9))+$C$6</f>
        <v>162034.06467376029</v>
      </c>
      <c r="E49" s="12">
        <f t="shared" ref="E49:E80" ca="1" si="32">D49*(1+NORMINV(RAND(),$C$8,$C$9))+$C$6*(1+$C$7)^1</f>
        <v>178108.23434569425</v>
      </c>
      <c r="F49" s="12">
        <f t="shared" ref="F49:F80" ca="1" si="33">E49*(1+NORMINV(RAND(),$C$8,$C$9))+$C$6*(1+$C$7)^2</f>
        <v>218583.30514118919</v>
      </c>
      <c r="G49" s="12">
        <f t="shared" ref="G49:G80" ca="1" si="34">F49*(1+NORMINV(RAND(),$C$8,$C$9))+$C$6*(1+$C$7)^3</f>
        <v>226319.71806595859</v>
      </c>
      <c r="H49" s="12">
        <f t="shared" ref="H49:H80" ca="1" si="35">G49*(1+NORMINV(RAND(),$C$8,$C$9))+$C$6*(1+$C$7)^4</f>
        <v>264704.28649918642</v>
      </c>
      <c r="I49" s="12">
        <f t="shared" ref="I49:I80" ca="1" si="36">H49*(1+NORMINV(RAND(),$C$8,$C$9))+$C$6*(1+$C$7)^5</f>
        <v>301384.76451703714</v>
      </c>
      <c r="J49" s="12">
        <f t="shared" ref="J49:J80" ca="1" si="37">I49*(1+NORMINV(RAND(),$C$8,$C$9))+$C$6*(1+$C$7)^6</f>
        <v>315904.90067101299</v>
      </c>
      <c r="K49" s="12">
        <f t="shared" ref="K49:K80" ca="1" si="38">J49*(1+NORMINV(RAND(),$C$8,$C$9))+$C$6*(1+$C$7)^7</f>
        <v>361432.41859166045</v>
      </c>
      <c r="L49" s="12">
        <f t="shared" ref="L49:L80" ca="1" si="39">K49*(1+NORMINV(RAND(),$C$8,$C$9))+$C$6*(1+$C$7)^8</f>
        <v>366726.14874819684</v>
      </c>
      <c r="M49" s="12">
        <f t="shared" ref="M49:M80" ca="1" si="40">L49*(1+NORMINV(RAND(),$C$8,$C$9))+$C$6*(1+$C$7)^9</f>
        <v>503850.08309747797</v>
      </c>
      <c r="N49" s="12">
        <f t="shared" ref="N49:N80" ca="1" si="41">M49*(1+NORMINV(RAND(),$C$8,$C$9))+$C$6*(1+$C$7)^10</f>
        <v>587342.45400144439</v>
      </c>
      <c r="O49" s="12">
        <f t="shared" ref="O49:O80" ca="1" si="42">N49*(1+NORMINV(RAND(),$C$8,$C$9))+$C$6*(1+$C$7)^11</f>
        <v>652398.80732993281</v>
      </c>
      <c r="P49" s="12">
        <f t="shared" ref="P49:P80" ca="1" si="43">O49*(1+NORMINV(RAND(),$C$8,$C$9))+$C$6*(1+$C$7)^12</f>
        <v>663987.27745028271</v>
      </c>
      <c r="Q49" s="12">
        <f t="shared" ref="Q49:Q80" ca="1" si="44">P49*(1+NORMINV(RAND(),$C$8,$C$9))+$C$6*(1+$C$7)^13</f>
        <v>956140.36747168051</v>
      </c>
      <c r="R49" s="12">
        <f t="shared" ref="R49:R80" ca="1" si="45">Q49*(1+NORMINV(RAND(),$C$8,$C$9))+$C$6*(1+$C$7)^14</f>
        <v>1054816.2380532031</v>
      </c>
      <c r="S49" s="12">
        <f t="shared" ref="S49:S80" ca="1" si="46">R49*(1+NORMINV(RAND(),$C$8,$C$9))+$C$6*(1+$C$7)^15</f>
        <v>1018475.2676341274</v>
      </c>
      <c r="T49" s="12">
        <f t="shared" ref="T49:T80" ca="1" si="47">S49*(1+NORMINV(RAND(),$C$8,$C$9))+$C$6*(1+$C$7)^16</f>
        <v>1165965.2867926983</v>
      </c>
      <c r="U49" s="12">
        <f t="shared" ref="U49:U80" ca="1" si="48">T49*(1+NORMINV(RAND(),$C$8,$C$9))+$C$6*(1+$C$7)^17</f>
        <v>1019689.3232558295</v>
      </c>
      <c r="V49" s="12">
        <f t="shared" ref="V49:V80" ca="1" si="49">U49*(1+NORMINV(RAND(),$C$8,$C$9))+$C$6*(1+$C$7)^18</f>
        <v>1059076.0169648628</v>
      </c>
      <c r="W49" s="12">
        <f t="shared" ref="W49:W80" ca="1" si="50">V49*(1+NORMINV(RAND(),$C$8,$C$9))+$C$6*(1+$C$7)^19</f>
        <v>1114203.6652091448</v>
      </c>
      <c r="X49" s="12">
        <f t="shared" ref="X49:X80" ca="1" si="51">W49*(1+NORMINV(RAND(),$C$8,$C$9))+$C$6*(1+$C$7)^20</f>
        <v>1202805.0795877292</v>
      </c>
      <c r="Y49" s="12">
        <f t="shared" ref="Y49:Y80" ca="1" si="52">X49*(1+NORMINV(RAND(),$C$8,$C$9))+$C$6*(1+$C$7)^21</f>
        <v>1341349.4290287413</v>
      </c>
      <c r="Z49" s="12">
        <f t="shared" ref="Z49:Z80" ca="1" si="53">Y49*(1+NORMINV(RAND(),$C$8,$C$9))+$C$6*(1+$C$7)^22</f>
        <v>1506076.0485394788</v>
      </c>
      <c r="AA49" s="12">
        <f t="shared" ref="AA49:AA80" ca="1" si="54">Z49*(1+NORMINV(RAND(),$C$8,$C$9))+$C$6*(1+$C$7)^23</f>
        <v>1864738.0407812297</v>
      </c>
      <c r="AB49" s="12">
        <f t="shared" ref="AB49:AB80" ca="1" si="55">AA49*(1+NORMINV(RAND(),$C$8,$C$9))+$C$6*(1+$C$7)^24</f>
        <v>1899394.6785103346</v>
      </c>
      <c r="AC49" s="12">
        <f t="shared" ref="AC49:AC80" ca="1" si="56">AB49*(1+NORMINV(RAND(),$C$8,$C$9))+$C$6*(1+$C$7)^25</f>
        <v>1990127.0343604672</v>
      </c>
      <c r="AD49" s="12">
        <f t="shared" ref="AD49:AD80" ca="1" si="57">AC49*(1+NORMINV(RAND(),$C$8,$C$9))+$C$6*(1+$C$7)^26</f>
        <v>2349284.549242279</v>
      </c>
      <c r="AE49" s="12">
        <f t="shared" ref="AE49:AE80" ca="1" si="58">AD49*(1+NORMINV(RAND(),$C$8,$C$9))+$C$6*(1+$C$7)^27</f>
        <v>2727277.8664202127</v>
      </c>
      <c r="AF49" s="12">
        <f t="shared" ref="AF49:AF80" ca="1" si="59">AE49*(1+NORMINV(RAND(),$C$8,$C$9))+$C$6*(1+$C$7)^28</f>
        <v>2339380.3035400785</v>
      </c>
      <c r="AG49" s="12">
        <f t="shared" ref="AG49:AG80" ca="1" si="60">AF49*(1+NORMINV(RAND(),$C$8,$C$9))+$C$6*(1+$C$7)^29</f>
        <v>2559680.6302775028</v>
      </c>
      <c r="AH49" s="12">
        <f t="shared" ref="AH49:AH80" ca="1" si="61">AG49</f>
        <v>2559680.6302775028</v>
      </c>
    </row>
    <row r="50" spans="2:34" x14ac:dyDescent="0.25">
      <c r="B50" s="6">
        <v>34</v>
      </c>
      <c r="D50" s="12">
        <f t="shared" ca="1" si="31"/>
        <v>207695.34074039472</v>
      </c>
      <c r="E50" s="12">
        <f t="shared" ca="1" si="32"/>
        <v>282099.73527405807</v>
      </c>
      <c r="F50" s="12">
        <f t="shared" ca="1" si="33"/>
        <v>270240.18907140166</v>
      </c>
      <c r="G50" s="12">
        <f t="shared" ca="1" si="34"/>
        <v>317664.09832207393</v>
      </c>
      <c r="H50" s="12">
        <f t="shared" ca="1" si="35"/>
        <v>351948.74245496164</v>
      </c>
      <c r="I50" s="12">
        <f t="shared" ca="1" si="36"/>
        <v>435423.57545612176</v>
      </c>
      <c r="J50" s="12">
        <f t="shared" ca="1" si="37"/>
        <v>482987.54246981652</v>
      </c>
      <c r="K50" s="12">
        <f t="shared" ca="1" si="38"/>
        <v>506349.89751095406</v>
      </c>
      <c r="L50" s="12">
        <f t="shared" ca="1" si="39"/>
        <v>663238.86950792279</v>
      </c>
      <c r="M50" s="12">
        <f t="shared" ca="1" si="40"/>
        <v>507419.44351489656</v>
      </c>
      <c r="N50" s="12">
        <f t="shared" ca="1" si="41"/>
        <v>572057.84842573386</v>
      </c>
      <c r="O50" s="12">
        <f t="shared" ca="1" si="42"/>
        <v>609022.08233008767</v>
      </c>
      <c r="P50" s="12">
        <f t="shared" ca="1" si="43"/>
        <v>653326.83251919074</v>
      </c>
      <c r="Q50" s="12">
        <f t="shared" ca="1" si="44"/>
        <v>728242.5482612534</v>
      </c>
      <c r="R50" s="12">
        <f t="shared" ca="1" si="45"/>
        <v>803715.30435655871</v>
      </c>
      <c r="S50" s="12">
        <f t="shared" ca="1" si="46"/>
        <v>722582.52900470037</v>
      </c>
      <c r="T50" s="12">
        <f t="shared" ca="1" si="47"/>
        <v>857874.74775387463</v>
      </c>
      <c r="U50" s="12">
        <f t="shared" ca="1" si="48"/>
        <v>1032513.0364443102</v>
      </c>
      <c r="V50" s="12">
        <f t="shared" ca="1" si="49"/>
        <v>1054863.6855226457</v>
      </c>
      <c r="W50" s="12">
        <f t="shared" ca="1" si="50"/>
        <v>1008767.3153633995</v>
      </c>
      <c r="X50" s="12">
        <f t="shared" ca="1" si="51"/>
        <v>1139901.7686525027</v>
      </c>
      <c r="Y50" s="12">
        <f t="shared" ca="1" si="52"/>
        <v>1134083.857361123</v>
      </c>
      <c r="Z50" s="12">
        <f t="shared" ca="1" si="53"/>
        <v>1126078.0530214945</v>
      </c>
      <c r="AA50" s="12">
        <f t="shared" ca="1" si="54"/>
        <v>1307706.4732847041</v>
      </c>
      <c r="AB50" s="12">
        <f t="shared" ca="1" si="55"/>
        <v>1501648.740074045</v>
      </c>
      <c r="AC50" s="12">
        <f t="shared" ca="1" si="56"/>
        <v>1846966.2415638221</v>
      </c>
      <c r="AD50" s="12">
        <f t="shared" ca="1" si="57"/>
        <v>1474257.7076409035</v>
      </c>
      <c r="AE50" s="12">
        <f t="shared" ca="1" si="58"/>
        <v>1598957.3210375186</v>
      </c>
      <c r="AF50" s="12">
        <f t="shared" ca="1" si="59"/>
        <v>1973647.2548215908</v>
      </c>
      <c r="AG50" s="12">
        <f t="shared" ca="1" si="60"/>
        <v>2411522.2014679359</v>
      </c>
      <c r="AH50" s="12">
        <f t="shared" ca="1" si="61"/>
        <v>2411522.2014679359</v>
      </c>
    </row>
    <row r="51" spans="2:34" x14ac:dyDescent="0.25">
      <c r="B51" s="6">
        <v>35</v>
      </c>
      <c r="D51" s="12">
        <f t="shared" ca="1" si="31"/>
        <v>182514.72177889146</v>
      </c>
      <c r="E51" s="12">
        <f t="shared" ca="1" si="32"/>
        <v>218068.97792314261</v>
      </c>
      <c r="F51" s="12">
        <f t="shared" ca="1" si="33"/>
        <v>268359.29551829456</v>
      </c>
      <c r="G51" s="12">
        <f t="shared" ca="1" si="34"/>
        <v>266881.58712786587</v>
      </c>
      <c r="H51" s="12">
        <f t="shared" ca="1" si="35"/>
        <v>291154.66836532881</v>
      </c>
      <c r="I51" s="12">
        <f t="shared" ca="1" si="36"/>
        <v>368174.12381196849</v>
      </c>
      <c r="J51" s="12">
        <f t="shared" ca="1" si="37"/>
        <v>463922.7119164638</v>
      </c>
      <c r="K51" s="12">
        <f t="shared" ca="1" si="38"/>
        <v>596868.6866062911</v>
      </c>
      <c r="L51" s="12">
        <f t="shared" ca="1" si="39"/>
        <v>634623.11560664128</v>
      </c>
      <c r="M51" s="12">
        <f t="shared" ca="1" si="40"/>
        <v>766655.27868127788</v>
      </c>
      <c r="N51" s="12">
        <f t="shared" ca="1" si="41"/>
        <v>940128.02274140331</v>
      </c>
      <c r="O51" s="12">
        <f t="shared" ca="1" si="42"/>
        <v>982050.78465055511</v>
      </c>
      <c r="P51" s="12">
        <f t="shared" ca="1" si="43"/>
        <v>1135064.5911111673</v>
      </c>
      <c r="Q51" s="12">
        <f t="shared" ca="1" si="44"/>
        <v>1349027.2438760379</v>
      </c>
      <c r="R51" s="12">
        <f t="shared" ca="1" si="45"/>
        <v>1399035.6005736496</v>
      </c>
      <c r="S51" s="12">
        <f t="shared" ca="1" si="46"/>
        <v>1614959.8055061612</v>
      </c>
      <c r="T51" s="12">
        <f t="shared" ca="1" si="47"/>
        <v>1968743.3092296305</v>
      </c>
      <c r="U51" s="12">
        <f t="shared" ca="1" si="48"/>
        <v>2075518.3662192235</v>
      </c>
      <c r="V51" s="12">
        <f t="shared" ca="1" si="49"/>
        <v>2278003.2899514851</v>
      </c>
      <c r="W51" s="12">
        <f t="shared" ca="1" si="50"/>
        <v>2436121.8604862359</v>
      </c>
      <c r="X51" s="12">
        <f t="shared" ca="1" si="51"/>
        <v>2147860.9775818801</v>
      </c>
      <c r="Y51" s="12">
        <f t="shared" ca="1" si="52"/>
        <v>2184551.5204680441</v>
      </c>
      <c r="Z51" s="12">
        <f t="shared" ca="1" si="53"/>
        <v>2534512.7141332957</v>
      </c>
      <c r="AA51" s="12">
        <f t="shared" ca="1" si="54"/>
        <v>2380814.2713708365</v>
      </c>
      <c r="AB51" s="12">
        <f t="shared" ca="1" si="55"/>
        <v>2687011.996583988</v>
      </c>
      <c r="AC51" s="12">
        <f t="shared" ca="1" si="56"/>
        <v>2994005.4552160292</v>
      </c>
      <c r="AD51" s="12">
        <f t="shared" ca="1" si="57"/>
        <v>3200714.9439717601</v>
      </c>
      <c r="AE51" s="12">
        <f t="shared" ca="1" si="58"/>
        <v>3420834.7415243313</v>
      </c>
      <c r="AF51" s="12">
        <f t="shared" ca="1" si="59"/>
        <v>3770494.0654412205</v>
      </c>
      <c r="AG51" s="12">
        <f t="shared" ca="1" si="60"/>
        <v>4534755.0616503377</v>
      </c>
      <c r="AH51" s="12">
        <f t="shared" ca="1" si="61"/>
        <v>4534755.0616503377</v>
      </c>
    </row>
    <row r="52" spans="2:34" x14ac:dyDescent="0.25">
      <c r="B52" s="6">
        <v>36</v>
      </c>
      <c r="D52" s="12">
        <f t="shared" ca="1" si="31"/>
        <v>169018.35872331468</v>
      </c>
      <c r="E52" s="12">
        <f t="shared" ca="1" si="32"/>
        <v>199153.25233405858</v>
      </c>
      <c r="F52" s="12">
        <f t="shared" ca="1" si="33"/>
        <v>201106.49162785168</v>
      </c>
      <c r="G52" s="12">
        <f t="shared" ca="1" si="34"/>
        <v>289667.21782461758</v>
      </c>
      <c r="H52" s="12">
        <f t="shared" ca="1" si="35"/>
        <v>333713.67598458403</v>
      </c>
      <c r="I52" s="12">
        <f t="shared" ca="1" si="36"/>
        <v>307199.59117168945</v>
      </c>
      <c r="J52" s="12">
        <f t="shared" ca="1" si="37"/>
        <v>346986.29904346919</v>
      </c>
      <c r="K52" s="12">
        <f t="shared" ca="1" si="38"/>
        <v>451798.23479396844</v>
      </c>
      <c r="L52" s="12">
        <f t="shared" ca="1" si="39"/>
        <v>507745.10954492423</v>
      </c>
      <c r="M52" s="12">
        <f t="shared" ca="1" si="40"/>
        <v>568771.06003626389</v>
      </c>
      <c r="N52" s="12">
        <f t="shared" ca="1" si="41"/>
        <v>565744.64246125473</v>
      </c>
      <c r="O52" s="12">
        <f t="shared" ca="1" si="42"/>
        <v>553406.43290441623</v>
      </c>
      <c r="P52" s="12">
        <f t="shared" ca="1" si="43"/>
        <v>416106.0638038512</v>
      </c>
      <c r="Q52" s="12">
        <f t="shared" ca="1" si="44"/>
        <v>395899.66130083607</v>
      </c>
      <c r="R52" s="12">
        <f t="shared" ca="1" si="45"/>
        <v>486214.38621636614</v>
      </c>
      <c r="S52" s="12">
        <f t="shared" ca="1" si="46"/>
        <v>523016.03784784873</v>
      </c>
      <c r="T52" s="12">
        <f t="shared" ca="1" si="47"/>
        <v>578808.60726527032</v>
      </c>
      <c r="U52" s="12">
        <f t="shared" ca="1" si="48"/>
        <v>650616.99657598545</v>
      </c>
      <c r="V52" s="12">
        <f t="shared" ca="1" si="49"/>
        <v>699267.7738951107</v>
      </c>
      <c r="W52" s="12">
        <f t="shared" ca="1" si="50"/>
        <v>781476.55615747545</v>
      </c>
      <c r="X52" s="12">
        <f t="shared" ca="1" si="51"/>
        <v>905348.1559872037</v>
      </c>
      <c r="Y52" s="12">
        <f t="shared" ca="1" si="52"/>
        <v>969929.66933210008</v>
      </c>
      <c r="Z52" s="12">
        <f t="shared" ca="1" si="53"/>
        <v>1040390.3416203391</v>
      </c>
      <c r="AA52" s="12">
        <f t="shared" ca="1" si="54"/>
        <v>1133181.6827842898</v>
      </c>
      <c r="AB52" s="12">
        <f t="shared" ca="1" si="55"/>
        <v>1323364.311295341</v>
      </c>
      <c r="AC52" s="12">
        <f t="shared" ca="1" si="56"/>
        <v>1143382.4996099744</v>
      </c>
      <c r="AD52" s="12">
        <f t="shared" ca="1" si="57"/>
        <v>1301775.5343652621</v>
      </c>
      <c r="AE52" s="12">
        <f t="shared" ca="1" si="58"/>
        <v>1258625.4488113041</v>
      </c>
      <c r="AF52" s="12">
        <f t="shared" ca="1" si="59"/>
        <v>1285263.3391726061</v>
      </c>
      <c r="AG52" s="12">
        <f t="shared" ca="1" si="60"/>
        <v>1624837.7741988476</v>
      </c>
      <c r="AH52" s="12">
        <f t="shared" ca="1" si="61"/>
        <v>1624837.7741988476</v>
      </c>
    </row>
    <row r="53" spans="2:34" x14ac:dyDescent="0.25">
      <c r="B53" s="6">
        <v>37</v>
      </c>
      <c r="D53" s="12">
        <f t="shared" ca="1" si="31"/>
        <v>189699.94402248814</v>
      </c>
      <c r="E53" s="12">
        <f t="shared" ca="1" si="32"/>
        <v>238011.00011776504</v>
      </c>
      <c r="F53" s="12">
        <f t="shared" ca="1" si="33"/>
        <v>284833.23306056496</v>
      </c>
      <c r="G53" s="12">
        <f t="shared" ca="1" si="34"/>
        <v>308687.31612982164</v>
      </c>
      <c r="H53" s="12">
        <f t="shared" ca="1" si="35"/>
        <v>263363.56318803784</v>
      </c>
      <c r="I53" s="12">
        <f t="shared" ca="1" si="36"/>
        <v>285122.58033473825</v>
      </c>
      <c r="J53" s="12">
        <f t="shared" ca="1" si="37"/>
        <v>310500.14390562533</v>
      </c>
      <c r="K53" s="12">
        <f t="shared" ca="1" si="38"/>
        <v>360584.08137317328</v>
      </c>
      <c r="L53" s="12">
        <f t="shared" ca="1" si="39"/>
        <v>446260.90558331227</v>
      </c>
      <c r="M53" s="12">
        <f t="shared" ca="1" si="40"/>
        <v>458638.39125083014</v>
      </c>
      <c r="N53" s="12">
        <f t="shared" ca="1" si="41"/>
        <v>502469.33455701795</v>
      </c>
      <c r="O53" s="12">
        <f t="shared" ca="1" si="42"/>
        <v>584864.21789511235</v>
      </c>
      <c r="P53" s="12">
        <f t="shared" ca="1" si="43"/>
        <v>599490.46629058896</v>
      </c>
      <c r="Q53" s="12">
        <f t="shared" ca="1" si="44"/>
        <v>594271.42673925601</v>
      </c>
      <c r="R53" s="12">
        <f t="shared" ca="1" si="45"/>
        <v>618726.6202531961</v>
      </c>
      <c r="S53" s="12">
        <f t="shared" ca="1" si="46"/>
        <v>516775.7189275368</v>
      </c>
      <c r="T53" s="12">
        <f t="shared" ca="1" si="47"/>
        <v>512090.19684658217</v>
      </c>
      <c r="U53" s="12">
        <f t="shared" ca="1" si="48"/>
        <v>620221.11880395375</v>
      </c>
      <c r="V53" s="12">
        <f t="shared" ca="1" si="49"/>
        <v>719596.39379708993</v>
      </c>
      <c r="W53" s="12">
        <f t="shared" ca="1" si="50"/>
        <v>843865.64731281658</v>
      </c>
      <c r="X53" s="12">
        <f t="shared" ca="1" si="51"/>
        <v>892490.52513767721</v>
      </c>
      <c r="Y53" s="12">
        <f t="shared" ca="1" si="52"/>
        <v>979609.83179981378</v>
      </c>
      <c r="Z53" s="12">
        <f t="shared" ca="1" si="53"/>
        <v>1026319.2924712198</v>
      </c>
      <c r="AA53" s="12">
        <f t="shared" ca="1" si="54"/>
        <v>1423179.6771988035</v>
      </c>
      <c r="AB53" s="12">
        <f t="shared" ca="1" si="55"/>
        <v>1425410.0067098388</v>
      </c>
      <c r="AC53" s="12">
        <f t="shared" ca="1" si="56"/>
        <v>1518560.9006328087</v>
      </c>
      <c r="AD53" s="12">
        <f t="shared" ca="1" si="57"/>
        <v>1427811.7461725811</v>
      </c>
      <c r="AE53" s="12">
        <f t="shared" ca="1" si="58"/>
        <v>1687051.7767909947</v>
      </c>
      <c r="AF53" s="12">
        <f t="shared" ca="1" si="59"/>
        <v>1880866.9224771296</v>
      </c>
      <c r="AG53" s="12">
        <f t="shared" ca="1" si="60"/>
        <v>2516663.7696488667</v>
      </c>
      <c r="AH53" s="12">
        <f t="shared" ca="1" si="61"/>
        <v>2516663.7696488667</v>
      </c>
    </row>
    <row r="54" spans="2:34" x14ac:dyDescent="0.25">
      <c r="B54" s="6">
        <v>38</v>
      </c>
      <c r="D54" s="12">
        <f t="shared" ca="1" si="31"/>
        <v>210049.76285017855</v>
      </c>
      <c r="E54" s="12">
        <f t="shared" ca="1" si="32"/>
        <v>295643.81022198359</v>
      </c>
      <c r="F54" s="12">
        <f t="shared" ca="1" si="33"/>
        <v>335546.95340213628</v>
      </c>
      <c r="G54" s="12">
        <f t="shared" ca="1" si="34"/>
        <v>399368.86431196402</v>
      </c>
      <c r="H54" s="12">
        <f t="shared" ca="1" si="35"/>
        <v>341643.09532829671</v>
      </c>
      <c r="I54" s="12">
        <f t="shared" ca="1" si="36"/>
        <v>388175.81150700664</v>
      </c>
      <c r="J54" s="12">
        <f t="shared" ca="1" si="37"/>
        <v>494365.44645992719</v>
      </c>
      <c r="K54" s="12">
        <f t="shared" ca="1" si="38"/>
        <v>625694.23140632117</v>
      </c>
      <c r="L54" s="12">
        <f t="shared" ca="1" si="39"/>
        <v>679307.44393128238</v>
      </c>
      <c r="M54" s="12">
        <f t="shared" ca="1" si="40"/>
        <v>894716.8222420509</v>
      </c>
      <c r="N54" s="12">
        <f t="shared" ca="1" si="41"/>
        <v>888239.1067486204</v>
      </c>
      <c r="O54" s="12">
        <f t="shared" ca="1" si="42"/>
        <v>1093751.0832909134</v>
      </c>
      <c r="P54" s="12">
        <f t="shared" ca="1" si="43"/>
        <v>1194704.7904494987</v>
      </c>
      <c r="Q54" s="12">
        <f t="shared" ca="1" si="44"/>
        <v>1360396.3274444288</v>
      </c>
      <c r="R54" s="12">
        <f t="shared" ca="1" si="45"/>
        <v>1324516.2244854211</v>
      </c>
      <c r="S54" s="12">
        <f t="shared" ca="1" si="46"/>
        <v>1546154.5008295411</v>
      </c>
      <c r="T54" s="12">
        <f t="shared" ca="1" si="47"/>
        <v>1604262.3382406258</v>
      </c>
      <c r="U54" s="12">
        <f t="shared" ca="1" si="48"/>
        <v>1363861.4726164339</v>
      </c>
      <c r="V54" s="12">
        <f t="shared" ca="1" si="49"/>
        <v>1269410.805102203</v>
      </c>
      <c r="W54" s="12">
        <f t="shared" ca="1" si="50"/>
        <v>1315068.092991777</v>
      </c>
      <c r="X54" s="12">
        <f t="shared" ca="1" si="51"/>
        <v>1640919.0040130769</v>
      </c>
      <c r="Y54" s="12">
        <f t="shared" ca="1" si="52"/>
        <v>1803844.6958987443</v>
      </c>
      <c r="Z54" s="12">
        <f t="shared" ca="1" si="53"/>
        <v>1554331.7919553493</v>
      </c>
      <c r="AA54" s="12">
        <f t="shared" ca="1" si="54"/>
        <v>1560434.1143713831</v>
      </c>
      <c r="AB54" s="12">
        <f t="shared" ca="1" si="55"/>
        <v>1437809.8762627</v>
      </c>
      <c r="AC54" s="12">
        <f t="shared" ca="1" si="56"/>
        <v>1659515.8544522577</v>
      </c>
      <c r="AD54" s="12">
        <f t="shared" ca="1" si="57"/>
        <v>1986579.7412238573</v>
      </c>
      <c r="AE54" s="12">
        <f t="shared" ca="1" si="58"/>
        <v>2587562.9809424542</v>
      </c>
      <c r="AF54" s="12">
        <f t="shared" ca="1" si="59"/>
        <v>2645721.5935986605</v>
      </c>
      <c r="AG54" s="12">
        <f t="shared" ca="1" si="60"/>
        <v>3158620.6782543557</v>
      </c>
      <c r="AH54" s="12">
        <f t="shared" ca="1" si="61"/>
        <v>3158620.6782543557</v>
      </c>
    </row>
    <row r="55" spans="2:34" x14ac:dyDescent="0.25">
      <c r="B55" s="6">
        <v>39</v>
      </c>
      <c r="D55" s="12">
        <f t="shared" ca="1" si="31"/>
        <v>147470.25772440044</v>
      </c>
      <c r="E55" s="12">
        <f t="shared" ca="1" si="32"/>
        <v>182283.13224168611</v>
      </c>
      <c r="F55" s="12">
        <f t="shared" ca="1" si="33"/>
        <v>249147.66251781012</v>
      </c>
      <c r="G55" s="12">
        <f t="shared" ca="1" si="34"/>
        <v>248388.08022927446</v>
      </c>
      <c r="H55" s="12">
        <f t="shared" ca="1" si="35"/>
        <v>260222.03257723351</v>
      </c>
      <c r="I55" s="12">
        <f t="shared" ca="1" si="36"/>
        <v>271667.725174791</v>
      </c>
      <c r="J55" s="12">
        <f t="shared" ca="1" si="37"/>
        <v>304925.70395685657</v>
      </c>
      <c r="K55" s="12">
        <f t="shared" ca="1" si="38"/>
        <v>372681.12216088705</v>
      </c>
      <c r="L55" s="12">
        <f t="shared" ca="1" si="39"/>
        <v>335776.25860984187</v>
      </c>
      <c r="M55" s="12">
        <f t="shared" ca="1" si="40"/>
        <v>404556.99340757827</v>
      </c>
      <c r="N55" s="12">
        <f t="shared" ca="1" si="41"/>
        <v>433789.8135843788</v>
      </c>
      <c r="O55" s="12">
        <f t="shared" ca="1" si="42"/>
        <v>464753.94357029779</v>
      </c>
      <c r="P55" s="12">
        <f t="shared" ca="1" si="43"/>
        <v>498022.34430907952</v>
      </c>
      <c r="Q55" s="12">
        <f t="shared" ca="1" si="44"/>
        <v>518893.37635844591</v>
      </c>
      <c r="R55" s="12">
        <f t="shared" ca="1" si="45"/>
        <v>536878.57491539838</v>
      </c>
      <c r="S55" s="12">
        <f t="shared" ca="1" si="46"/>
        <v>546846.8949613045</v>
      </c>
      <c r="T55" s="12">
        <f t="shared" ca="1" si="47"/>
        <v>613637.45887907117</v>
      </c>
      <c r="U55" s="12">
        <f t="shared" ca="1" si="48"/>
        <v>731783.21765412774</v>
      </c>
      <c r="V55" s="12">
        <f t="shared" ca="1" si="49"/>
        <v>746660.84462317056</v>
      </c>
      <c r="W55" s="12">
        <f t="shared" ca="1" si="50"/>
        <v>950851.48100190342</v>
      </c>
      <c r="X55" s="12">
        <f t="shared" ca="1" si="51"/>
        <v>850923.48049755429</v>
      </c>
      <c r="Y55" s="12">
        <f t="shared" ca="1" si="52"/>
        <v>909480.66750258766</v>
      </c>
      <c r="Z55" s="12">
        <f t="shared" ca="1" si="53"/>
        <v>959057.66252291738</v>
      </c>
      <c r="AA55" s="12">
        <f t="shared" ca="1" si="54"/>
        <v>1058850.1196478934</v>
      </c>
      <c r="AB55" s="12">
        <f t="shared" ca="1" si="55"/>
        <v>1189440.19195482</v>
      </c>
      <c r="AC55" s="12">
        <f t="shared" ca="1" si="56"/>
        <v>1260898.282989125</v>
      </c>
      <c r="AD55" s="12">
        <f t="shared" ca="1" si="57"/>
        <v>1338951.6767218395</v>
      </c>
      <c r="AE55" s="12">
        <f t="shared" ca="1" si="58"/>
        <v>1453671.8217225426</v>
      </c>
      <c r="AF55" s="12">
        <f t="shared" ca="1" si="59"/>
        <v>1532441.083158598</v>
      </c>
      <c r="AG55" s="12">
        <f t="shared" ca="1" si="60"/>
        <v>1383608.6589248285</v>
      </c>
      <c r="AH55" s="12">
        <f t="shared" ca="1" si="61"/>
        <v>1383608.6589248285</v>
      </c>
    </row>
    <row r="56" spans="2:34" x14ac:dyDescent="0.25">
      <c r="B56" s="6">
        <v>40</v>
      </c>
      <c r="D56" s="12">
        <f t="shared" ca="1" si="31"/>
        <v>192492.28467862762</v>
      </c>
      <c r="E56" s="12">
        <f t="shared" ca="1" si="32"/>
        <v>187657.3492461273</v>
      </c>
      <c r="F56" s="12">
        <f t="shared" ca="1" si="33"/>
        <v>194774.70502780221</v>
      </c>
      <c r="G56" s="12">
        <f t="shared" ca="1" si="34"/>
        <v>214420.50976371937</v>
      </c>
      <c r="H56" s="12">
        <f t="shared" ca="1" si="35"/>
        <v>233740.99809587025</v>
      </c>
      <c r="I56" s="12">
        <f t="shared" ca="1" si="36"/>
        <v>234786.65499280189</v>
      </c>
      <c r="J56" s="12">
        <f t="shared" ca="1" si="37"/>
        <v>242016.64239323643</v>
      </c>
      <c r="K56" s="12">
        <f t="shared" ca="1" si="38"/>
        <v>258149.07478991497</v>
      </c>
      <c r="L56" s="12">
        <f t="shared" ca="1" si="39"/>
        <v>266561.52372310509</v>
      </c>
      <c r="M56" s="12">
        <f t="shared" ca="1" si="40"/>
        <v>342903.55448701483</v>
      </c>
      <c r="N56" s="12">
        <f t="shared" ca="1" si="41"/>
        <v>385864.3863972121</v>
      </c>
      <c r="O56" s="12">
        <f t="shared" ca="1" si="42"/>
        <v>472006.73516645853</v>
      </c>
      <c r="P56" s="12">
        <f t="shared" ca="1" si="43"/>
        <v>508404.75799363718</v>
      </c>
      <c r="Q56" s="12">
        <f t="shared" ca="1" si="44"/>
        <v>631689.1929429617</v>
      </c>
      <c r="R56" s="12">
        <f t="shared" ca="1" si="45"/>
        <v>869526.27364632732</v>
      </c>
      <c r="S56" s="12">
        <f t="shared" ca="1" si="46"/>
        <v>1038003.6914951078</v>
      </c>
      <c r="T56" s="12">
        <f t="shared" ca="1" si="47"/>
        <v>1178747.8907258625</v>
      </c>
      <c r="U56" s="12">
        <f t="shared" ca="1" si="48"/>
        <v>1326231.8496015836</v>
      </c>
      <c r="V56" s="12">
        <f t="shared" ca="1" si="49"/>
        <v>1280577.3369444292</v>
      </c>
      <c r="W56" s="12">
        <f t="shared" ca="1" si="50"/>
        <v>1382814.5385888268</v>
      </c>
      <c r="X56" s="12">
        <f t="shared" ca="1" si="51"/>
        <v>1589255.4921033795</v>
      </c>
      <c r="Y56" s="12">
        <f t="shared" ca="1" si="52"/>
        <v>1806476.8054980149</v>
      </c>
      <c r="Z56" s="12">
        <f t="shared" ca="1" si="53"/>
        <v>1824001.4216673921</v>
      </c>
      <c r="AA56" s="12">
        <f t="shared" ca="1" si="54"/>
        <v>1655177.25076318</v>
      </c>
      <c r="AB56" s="12">
        <f t="shared" ca="1" si="55"/>
        <v>1762914.3040716439</v>
      </c>
      <c r="AC56" s="12">
        <f t="shared" ca="1" si="56"/>
        <v>1624145.998680633</v>
      </c>
      <c r="AD56" s="12">
        <f t="shared" ca="1" si="57"/>
        <v>1946990.9105479906</v>
      </c>
      <c r="AE56" s="12">
        <f t="shared" ca="1" si="58"/>
        <v>1886799.6305324133</v>
      </c>
      <c r="AF56" s="12">
        <f t="shared" ca="1" si="59"/>
        <v>2256735.0821640375</v>
      </c>
      <c r="AG56" s="12">
        <f t="shared" ca="1" si="60"/>
        <v>3040946.8088582163</v>
      </c>
      <c r="AH56" s="12">
        <f t="shared" ca="1" si="61"/>
        <v>3040946.8088582163</v>
      </c>
    </row>
    <row r="57" spans="2:34" x14ac:dyDescent="0.25">
      <c r="B57" s="6">
        <v>41</v>
      </c>
      <c r="D57" s="12">
        <f t="shared" ca="1" si="31"/>
        <v>195583.95630173312</v>
      </c>
      <c r="E57" s="12">
        <f t="shared" ca="1" si="32"/>
        <v>218338.96989909018</v>
      </c>
      <c r="F57" s="12">
        <f t="shared" ca="1" si="33"/>
        <v>266207.49583511311</v>
      </c>
      <c r="G57" s="12">
        <f t="shared" ca="1" si="34"/>
        <v>270658.20039772301</v>
      </c>
      <c r="H57" s="12">
        <f t="shared" ca="1" si="35"/>
        <v>308250.96418426983</v>
      </c>
      <c r="I57" s="12">
        <f t="shared" ca="1" si="36"/>
        <v>388540.23920126079</v>
      </c>
      <c r="J57" s="12">
        <f t="shared" ca="1" si="37"/>
        <v>368011.30374293565</v>
      </c>
      <c r="K57" s="12">
        <f t="shared" ca="1" si="38"/>
        <v>537904.86231927876</v>
      </c>
      <c r="L57" s="12">
        <f t="shared" ca="1" si="39"/>
        <v>686173.64607945248</v>
      </c>
      <c r="M57" s="12">
        <f t="shared" ca="1" si="40"/>
        <v>664305.00888489024</v>
      </c>
      <c r="N57" s="12">
        <f t="shared" ca="1" si="41"/>
        <v>728639.21103477315</v>
      </c>
      <c r="O57" s="12">
        <f t="shared" ca="1" si="42"/>
        <v>787772.52901440591</v>
      </c>
      <c r="P57" s="12">
        <f t="shared" ca="1" si="43"/>
        <v>974782.09632818529</v>
      </c>
      <c r="Q57" s="12">
        <f t="shared" ca="1" si="44"/>
        <v>995097.48690134822</v>
      </c>
      <c r="R57" s="12">
        <f t="shared" ca="1" si="45"/>
        <v>970055.99569848867</v>
      </c>
      <c r="S57" s="12">
        <f t="shared" ca="1" si="46"/>
        <v>976761.7678349911</v>
      </c>
      <c r="T57" s="12">
        <f t="shared" ca="1" si="47"/>
        <v>1191856.0889828433</v>
      </c>
      <c r="U57" s="12">
        <f t="shared" ca="1" si="48"/>
        <v>1441825.4721894038</v>
      </c>
      <c r="V57" s="12">
        <f t="shared" ca="1" si="49"/>
        <v>1485896.2328126673</v>
      </c>
      <c r="W57" s="12">
        <f t="shared" ca="1" si="50"/>
        <v>1654266.7258578739</v>
      </c>
      <c r="X57" s="12">
        <f t="shared" ca="1" si="51"/>
        <v>1649703.5170587983</v>
      </c>
      <c r="Y57" s="12">
        <f t="shared" ca="1" si="52"/>
        <v>2044205.8461322957</v>
      </c>
      <c r="Z57" s="12">
        <f t="shared" ca="1" si="53"/>
        <v>2027959.6229208214</v>
      </c>
      <c r="AA57" s="12">
        <f t="shared" ca="1" si="54"/>
        <v>2459312.7650716011</v>
      </c>
      <c r="AB57" s="12">
        <f t="shared" ca="1" si="55"/>
        <v>2821783.5140496939</v>
      </c>
      <c r="AC57" s="12">
        <f t="shared" ca="1" si="56"/>
        <v>2952188.9303081799</v>
      </c>
      <c r="AD57" s="12">
        <f t="shared" ca="1" si="57"/>
        <v>3061586.1730926819</v>
      </c>
      <c r="AE57" s="12">
        <f t="shared" ca="1" si="58"/>
        <v>3021924.7370178527</v>
      </c>
      <c r="AF57" s="12">
        <f t="shared" ca="1" si="59"/>
        <v>3006008.2115645744</v>
      </c>
      <c r="AG57" s="12">
        <f t="shared" ca="1" si="60"/>
        <v>2805262.4727318967</v>
      </c>
      <c r="AH57" s="12">
        <f t="shared" ca="1" si="61"/>
        <v>2805262.4727318967</v>
      </c>
    </row>
    <row r="58" spans="2:34" x14ac:dyDescent="0.25">
      <c r="B58" s="6">
        <v>42</v>
      </c>
      <c r="D58" s="12">
        <f t="shared" ca="1" si="31"/>
        <v>215116.31946687881</v>
      </c>
      <c r="E58" s="12">
        <f t="shared" ca="1" si="32"/>
        <v>297756.40947128186</v>
      </c>
      <c r="F58" s="12">
        <f t="shared" ca="1" si="33"/>
        <v>304344.69964625646</v>
      </c>
      <c r="G58" s="12">
        <f t="shared" ca="1" si="34"/>
        <v>356180.76881089614</v>
      </c>
      <c r="H58" s="12">
        <f t="shared" ca="1" si="35"/>
        <v>305044.47158225672</v>
      </c>
      <c r="I58" s="12">
        <f t="shared" ca="1" si="36"/>
        <v>366660.79318927135</v>
      </c>
      <c r="J58" s="12">
        <f t="shared" ca="1" si="37"/>
        <v>378151.86807411903</v>
      </c>
      <c r="K58" s="12">
        <f t="shared" ca="1" si="38"/>
        <v>403347.72530512413</v>
      </c>
      <c r="L58" s="12">
        <f t="shared" ca="1" si="39"/>
        <v>391097.40566465224</v>
      </c>
      <c r="M58" s="12">
        <f t="shared" ca="1" si="40"/>
        <v>404293.12251539627</v>
      </c>
      <c r="N58" s="12">
        <f t="shared" ca="1" si="41"/>
        <v>520877.87194474565</v>
      </c>
      <c r="O58" s="12">
        <f t="shared" ca="1" si="42"/>
        <v>577147.35073121323</v>
      </c>
      <c r="P58" s="12">
        <f t="shared" ca="1" si="43"/>
        <v>573436.48297694942</v>
      </c>
      <c r="Q58" s="12">
        <f t="shared" ca="1" si="44"/>
        <v>556634.52251451707</v>
      </c>
      <c r="R58" s="12">
        <f t="shared" ca="1" si="45"/>
        <v>579365.40458821191</v>
      </c>
      <c r="S58" s="12">
        <f t="shared" ca="1" si="46"/>
        <v>706967.86761560198</v>
      </c>
      <c r="T58" s="12">
        <f t="shared" ca="1" si="47"/>
        <v>770362.43685629021</v>
      </c>
      <c r="U58" s="12">
        <f t="shared" ca="1" si="48"/>
        <v>705661.11456861277</v>
      </c>
      <c r="V58" s="12">
        <f t="shared" ca="1" si="49"/>
        <v>833623.6865165761</v>
      </c>
      <c r="W58" s="12">
        <f t="shared" ca="1" si="50"/>
        <v>864794.03777418216</v>
      </c>
      <c r="X58" s="12">
        <f t="shared" ca="1" si="51"/>
        <v>1021135.1545528094</v>
      </c>
      <c r="Y58" s="12">
        <f t="shared" ca="1" si="52"/>
        <v>1415216.8187254251</v>
      </c>
      <c r="Z58" s="12">
        <f t="shared" ca="1" si="53"/>
        <v>1683859.8920381756</v>
      </c>
      <c r="AA58" s="12">
        <f t="shared" ca="1" si="54"/>
        <v>1590120.7729927339</v>
      </c>
      <c r="AB58" s="12">
        <f t="shared" ca="1" si="55"/>
        <v>1750106.8313021818</v>
      </c>
      <c r="AC58" s="12">
        <f t="shared" ca="1" si="56"/>
        <v>2067056.7460734074</v>
      </c>
      <c r="AD58" s="12">
        <f t="shared" ca="1" si="57"/>
        <v>2195720.7533373735</v>
      </c>
      <c r="AE58" s="12">
        <f t="shared" ca="1" si="58"/>
        <v>2480068.1389173097</v>
      </c>
      <c r="AF58" s="12">
        <f t="shared" ca="1" si="59"/>
        <v>2185358.6563292625</v>
      </c>
      <c r="AG58" s="12">
        <f t="shared" ca="1" si="60"/>
        <v>2690202.7815422174</v>
      </c>
      <c r="AH58" s="12">
        <f t="shared" ca="1" si="61"/>
        <v>2690202.7815422174</v>
      </c>
    </row>
    <row r="59" spans="2:34" x14ac:dyDescent="0.25">
      <c r="B59" s="6">
        <v>43</v>
      </c>
      <c r="D59" s="12">
        <f t="shared" ca="1" si="31"/>
        <v>160912.06111390895</v>
      </c>
      <c r="E59" s="12">
        <f t="shared" ca="1" si="32"/>
        <v>167338.90628830186</v>
      </c>
      <c r="F59" s="12">
        <f t="shared" ca="1" si="33"/>
        <v>189513.21971583262</v>
      </c>
      <c r="G59" s="12">
        <f t="shared" ca="1" si="34"/>
        <v>206582.79852894632</v>
      </c>
      <c r="H59" s="12">
        <f t="shared" ca="1" si="35"/>
        <v>259256.1888464051</v>
      </c>
      <c r="I59" s="12">
        <f t="shared" ca="1" si="36"/>
        <v>316593.94076357724</v>
      </c>
      <c r="J59" s="12">
        <f t="shared" ca="1" si="37"/>
        <v>366585.71348939359</v>
      </c>
      <c r="K59" s="12">
        <f t="shared" ca="1" si="38"/>
        <v>429763.10064560646</v>
      </c>
      <c r="L59" s="12">
        <f t="shared" ca="1" si="39"/>
        <v>497589.25446658127</v>
      </c>
      <c r="M59" s="12">
        <f t="shared" ca="1" si="40"/>
        <v>569497.12070242991</v>
      </c>
      <c r="N59" s="12">
        <f t="shared" ca="1" si="41"/>
        <v>565497.12670377886</v>
      </c>
      <c r="O59" s="12">
        <f t="shared" ca="1" si="42"/>
        <v>562648.39704982541</v>
      </c>
      <c r="P59" s="12">
        <f t="shared" ca="1" si="43"/>
        <v>632152.47289863869</v>
      </c>
      <c r="Q59" s="12">
        <f t="shared" ca="1" si="44"/>
        <v>600395.48698194325</v>
      </c>
      <c r="R59" s="12">
        <f t="shared" ca="1" si="45"/>
        <v>596003.72294781252</v>
      </c>
      <c r="S59" s="12">
        <f t="shared" ca="1" si="46"/>
        <v>622746.59906282346</v>
      </c>
      <c r="T59" s="12">
        <f t="shared" ca="1" si="47"/>
        <v>656984.75202615792</v>
      </c>
      <c r="U59" s="12">
        <f t="shared" ca="1" si="48"/>
        <v>643196.74989408557</v>
      </c>
      <c r="V59" s="12">
        <f t="shared" ca="1" si="49"/>
        <v>745327.01945934829</v>
      </c>
      <c r="W59" s="12">
        <f t="shared" ca="1" si="50"/>
        <v>866490.85945828259</v>
      </c>
      <c r="X59" s="12">
        <f t="shared" ca="1" si="51"/>
        <v>963781.80059194483</v>
      </c>
      <c r="Y59" s="12">
        <f t="shared" ca="1" si="52"/>
        <v>1184772.7675483895</v>
      </c>
      <c r="Z59" s="12">
        <f t="shared" ca="1" si="53"/>
        <v>1175951.5679200978</v>
      </c>
      <c r="AA59" s="12">
        <f t="shared" ca="1" si="54"/>
        <v>1668540.3380340419</v>
      </c>
      <c r="AB59" s="12">
        <f t="shared" ca="1" si="55"/>
        <v>1839554.8318845148</v>
      </c>
      <c r="AC59" s="12">
        <f t="shared" ca="1" si="56"/>
        <v>2023649.8669187136</v>
      </c>
      <c r="AD59" s="12">
        <f t="shared" ca="1" si="57"/>
        <v>1828592.1740910027</v>
      </c>
      <c r="AE59" s="12">
        <f t="shared" ca="1" si="58"/>
        <v>1912541.6641320141</v>
      </c>
      <c r="AF59" s="12">
        <f t="shared" ca="1" si="59"/>
        <v>2258206.4069454665</v>
      </c>
      <c r="AG59" s="12">
        <f t="shared" ca="1" si="60"/>
        <v>2356456.3435653932</v>
      </c>
      <c r="AH59" s="12">
        <f t="shared" ca="1" si="61"/>
        <v>2356456.3435653932</v>
      </c>
    </row>
    <row r="60" spans="2:34" x14ac:dyDescent="0.25">
      <c r="B60" s="6">
        <v>44</v>
      </c>
      <c r="D60" s="12">
        <f t="shared" ca="1" si="31"/>
        <v>170341.91084766074</v>
      </c>
      <c r="E60" s="12">
        <f t="shared" ca="1" si="32"/>
        <v>166989.50515826768</v>
      </c>
      <c r="F60" s="12">
        <f t="shared" ca="1" si="33"/>
        <v>197284.23956009565</v>
      </c>
      <c r="G60" s="12">
        <f t="shared" ca="1" si="34"/>
        <v>221228.73133460889</v>
      </c>
      <c r="H60" s="12">
        <f t="shared" ca="1" si="35"/>
        <v>279878.08829744032</v>
      </c>
      <c r="I60" s="12">
        <f t="shared" ca="1" si="36"/>
        <v>342550.33255742531</v>
      </c>
      <c r="J60" s="12">
        <f t="shared" ca="1" si="37"/>
        <v>411514.62124880945</v>
      </c>
      <c r="K60" s="12">
        <f t="shared" ca="1" si="38"/>
        <v>380655.11958566733</v>
      </c>
      <c r="L60" s="12">
        <f t="shared" ca="1" si="39"/>
        <v>403492.44793010294</v>
      </c>
      <c r="M60" s="12">
        <f t="shared" ca="1" si="40"/>
        <v>507841.49564140645</v>
      </c>
      <c r="N60" s="12">
        <f t="shared" ca="1" si="41"/>
        <v>465683.57579605264</v>
      </c>
      <c r="O60" s="12">
        <f t="shared" ca="1" si="42"/>
        <v>418660.93879470765</v>
      </c>
      <c r="P60" s="12">
        <f t="shared" ca="1" si="43"/>
        <v>404934.02035844524</v>
      </c>
      <c r="Q60" s="12">
        <f t="shared" ca="1" si="44"/>
        <v>465137.95760541008</v>
      </c>
      <c r="R60" s="12">
        <f t="shared" ca="1" si="45"/>
        <v>609931.00397950481</v>
      </c>
      <c r="S60" s="12">
        <f t="shared" ca="1" si="46"/>
        <v>622902.94689737516</v>
      </c>
      <c r="T60" s="12">
        <f t="shared" ca="1" si="47"/>
        <v>682409.59852451738</v>
      </c>
      <c r="U60" s="12">
        <f t="shared" ca="1" si="48"/>
        <v>758720.35137925879</v>
      </c>
      <c r="V60" s="12">
        <f t="shared" ca="1" si="49"/>
        <v>721863.49522066256</v>
      </c>
      <c r="W60" s="12">
        <f t="shared" ca="1" si="50"/>
        <v>745100.83088831103</v>
      </c>
      <c r="X60" s="12">
        <f t="shared" ca="1" si="51"/>
        <v>873754.41444705927</v>
      </c>
      <c r="Y60" s="12">
        <f t="shared" ca="1" si="52"/>
        <v>865714.62877706904</v>
      </c>
      <c r="Z60" s="12">
        <f t="shared" ca="1" si="53"/>
        <v>815999.31387231709</v>
      </c>
      <c r="AA60" s="12">
        <f t="shared" ca="1" si="54"/>
        <v>922289.45491281792</v>
      </c>
      <c r="AB60" s="12">
        <f t="shared" ca="1" si="55"/>
        <v>1050917.4752064021</v>
      </c>
      <c r="AC60" s="12">
        <f t="shared" ca="1" si="56"/>
        <v>1074728.6981950491</v>
      </c>
      <c r="AD60" s="12">
        <f t="shared" ca="1" si="57"/>
        <v>1073304.0820470615</v>
      </c>
      <c r="AE60" s="12">
        <f t="shared" ca="1" si="58"/>
        <v>1004351.7897887887</v>
      </c>
      <c r="AF60" s="12">
        <f t="shared" ca="1" si="59"/>
        <v>1109102.6102795806</v>
      </c>
      <c r="AG60" s="12">
        <f t="shared" ca="1" si="60"/>
        <v>1100021.4455712736</v>
      </c>
      <c r="AH60" s="12">
        <f t="shared" ca="1" si="61"/>
        <v>1100021.4455712736</v>
      </c>
    </row>
    <row r="61" spans="2:34" x14ac:dyDescent="0.25">
      <c r="B61" s="6">
        <v>45</v>
      </c>
      <c r="D61" s="12">
        <f t="shared" ca="1" si="31"/>
        <v>199820.18924224668</v>
      </c>
      <c r="E61" s="12">
        <f t="shared" ca="1" si="32"/>
        <v>263051.24682302371</v>
      </c>
      <c r="F61" s="12">
        <f t="shared" ca="1" si="33"/>
        <v>291865.50198937301</v>
      </c>
      <c r="G61" s="12">
        <f t="shared" ca="1" si="34"/>
        <v>310531.3701388723</v>
      </c>
      <c r="H61" s="12">
        <f t="shared" ca="1" si="35"/>
        <v>319852.64633907727</v>
      </c>
      <c r="I61" s="12">
        <f t="shared" ca="1" si="36"/>
        <v>361656.46092671889</v>
      </c>
      <c r="J61" s="12">
        <f t="shared" ca="1" si="37"/>
        <v>383050.85384183447</v>
      </c>
      <c r="K61" s="12">
        <f t="shared" ca="1" si="38"/>
        <v>361452.12010679342</v>
      </c>
      <c r="L61" s="12">
        <f t="shared" ca="1" si="39"/>
        <v>380554.29155287659</v>
      </c>
      <c r="M61" s="12">
        <f t="shared" ca="1" si="40"/>
        <v>488901.09137598361</v>
      </c>
      <c r="N61" s="12">
        <f t="shared" ca="1" si="41"/>
        <v>505116.58260232094</v>
      </c>
      <c r="O61" s="12">
        <f t="shared" ca="1" si="42"/>
        <v>593324.00838325091</v>
      </c>
      <c r="P61" s="12">
        <f t="shared" ca="1" si="43"/>
        <v>592630.9854280795</v>
      </c>
      <c r="Q61" s="12">
        <f t="shared" ca="1" si="44"/>
        <v>684860.76418478077</v>
      </c>
      <c r="R61" s="12">
        <f t="shared" ca="1" si="45"/>
        <v>799096.28050837293</v>
      </c>
      <c r="S61" s="12">
        <f t="shared" ca="1" si="46"/>
        <v>866960.90678863064</v>
      </c>
      <c r="T61" s="12">
        <f t="shared" ca="1" si="47"/>
        <v>961424.12713152939</v>
      </c>
      <c r="U61" s="12">
        <f t="shared" ca="1" si="48"/>
        <v>1220562.0057546699</v>
      </c>
      <c r="V61" s="12">
        <f t="shared" ca="1" si="49"/>
        <v>1143342.8304710903</v>
      </c>
      <c r="W61" s="12">
        <f t="shared" ca="1" si="50"/>
        <v>1243454.2490547157</v>
      </c>
      <c r="X61" s="12">
        <f t="shared" ca="1" si="51"/>
        <v>1340298.2630213248</v>
      </c>
      <c r="Y61" s="12">
        <f t="shared" ca="1" si="52"/>
        <v>1702305.0967359901</v>
      </c>
      <c r="Z61" s="12">
        <f t="shared" ca="1" si="53"/>
        <v>1964454.8743596266</v>
      </c>
      <c r="AA61" s="12">
        <f t="shared" ca="1" si="54"/>
        <v>2107291.3748753606</v>
      </c>
      <c r="AB61" s="12">
        <f t="shared" ca="1" si="55"/>
        <v>2453223.7351178201</v>
      </c>
      <c r="AC61" s="12">
        <f t="shared" ca="1" si="56"/>
        <v>2596165.0185725996</v>
      </c>
      <c r="AD61" s="12">
        <f t="shared" ca="1" si="57"/>
        <v>3064849.6620583977</v>
      </c>
      <c r="AE61" s="12">
        <f t="shared" ca="1" si="58"/>
        <v>3279033.4121151073</v>
      </c>
      <c r="AF61" s="12">
        <f t="shared" ca="1" si="59"/>
        <v>3132375.9723086054</v>
      </c>
      <c r="AG61" s="12">
        <f t="shared" ca="1" si="60"/>
        <v>3605231.4641960119</v>
      </c>
      <c r="AH61" s="12">
        <f t="shared" ca="1" si="61"/>
        <v>3605231.4641960119</v>
      </c>
    </row>
    <row r="62" spans="2:34" x14ac:dyDescent="0.25">
      <c r="B62" s="6">
        <v>46</v>
      </c>
      <c r="D62" s="12">
        <f t="shared" ca="1" si="31"/>
        <v>160503.66356148061</v>
      </c>
      <c r="E62" s="12">
        <f t="shared" ca="1" si="32"/>
        <v>225859.54044673848</v>
      </c>
      <c r="F62" s="12">
        <f t="shared" ca="1" si="33"/>
        <v>187812.23845435033</v>
      </c>
      <c r="G62" s="12">
        <f t="shared" ca="1" si="34"/>
        <v>188424.79781397563</v>
      </c>
      <c r="H62" s="12">
        <f t="shared" ca="1" si="35"/>
        <v>206109.49467719934</v>
      </c>
      <c r="I62" s="12">
        <f t="shared" ca="1" si="36"/>
        <v>240201.36868184691</v>
      </c>
      <c r="J62" s="12">
        <f t="shared" ca="1" si="37"/>
        <v>259702.65353039178</v>
      </c>
      <c r="K62" s="12">
        <f t="shared" ca="1" si="38"/>
        <v>233374.75515194878</v>
      </c>
      <c r="L62" s="12">
        <f t="shared" ca="1" si="39"/>
        <v>293856.13551985135</v>
      </c>
      <c r="M62" s="12">
        <f t="shared" ca="1" si="40"/>
        <v>307925.5498150622</v>
      </c>
      <c r="N62" s="12">
        <f t="shared" ca="1" si="41"/>
        <v>321309.23468657082</v>
      </c>
      <c r="O62" s="12">
        <f t="shared" ca="1" si="42"/>
        <v>378540.11223837209</v>
      </c>
      <c r="P62" s="12">
        <f t="shared" ca="1" si="43"/>
        <v>419876.03991755639</v>
      </c>
      <c r="Q62" s="12">
        <f t="shared" ca="1" si="44"/>
        <v>489868.38852614583</v>
      </c>
      <c r="R62" s="12">
        <f t="shared" ca="1" si="45"/>
        <v>633166.58584948978</v>
      </c>
      <c r="S62" s="12">
        <f t="shared" ca="1" si="46"/>
        <v>685341.74906803423</v>
      </c>
      <c r="T62" s="12">
        <f t="shared" ca="1" si="47"/>
        <v>837516.66931772011</v>
      </c>
      <c r="U62" s="12">
        <f t="shared" ca="1" si="48"/>
        <v>1014478.4468091057</v>
      </c>
      <c r="V62" s="12">
        <f t="shared" ca="1" si="49"/>
        <v>1131733.3338151977</v>
      </c>
      <c r="W62" s="12">
        <f t="shared" ca="1" si="50"/>
        <v>1405733.8394909373</v>
      </c>
      <c r="X62" s="12">
        <f t="shared" ca="1" si="51"/>
        <v>1579696.7855243967</v>
      </c>
      <c r="Y62" s="12">
        <f t="shared" ca="1" si="52"/>
        <v>1702588.618291598</v>
      </c>
      <c r="Z62" s="12">
        <f t="shared" ca="1" si="53"/>
        <v>2197095.3726215176</v>
      </c>
      <c r="AA62" s="12">
        <f t="shared" ca="1" si="54"/>
        <v>2564416.0860819253</v>
      </c>
      <c r="AB62" s="12">
        <f t="shared" ca="1" si="55"/>
        <v>1953472.6311465923</v>
      </c>
      <c r="AC62" s="12">
        <f t="shared" ca="1" si="56"/>
        <v>2196293.3308000201</v>
      </c>
      <c r="AD62" s="12">
        <f t="shared" ca="1" si="57"/>
        <v>2230468.667159019</v>
      </c>
      <c r="AE62" s="12">
        <f t="shared" ca="1" si="58"/>
        <v>2517199.8709921022</v>
      </c>
      <c r="AF62" s="12">
        <f t="shared" ca="1" si="59"/>
        <v>2607605.005222416</v>
      </c>
      <c r="AG62" s="12">
        <f t="shared" ca="1" si="60"/>
        <v>2889231.2084393874</v>
      </c>
      <c r="AH62" s="12">
        <f t="shared" ca="1" si="61"/>
        <v>2889231.2084393874</v>
      </c>
    </row>
    <row r="63" spans="2:34" x14ac:dyDescent="0.25">
      <c r="B63" s="6">
        <v>47</v>
      </c>
      <c r="D63" s="12">
        <f t="shared" ca="1" si="31"/>
        <v>212801.51735414387</v>
      </c>
      <c r="E63" s="12">
        <f t="shared" ca="1" si="32"/>
        <v>270561.2726060407</v>
      </c>
      <c r="F63" s="12">
        <f t="shared" ca="1" si="33"/>
        <v>336887.33520417329</v>
      </c>
      <c r="G63" s="12">
        <f t="shared" ca="1" si="34"/>
        <v>390819.18433151772</v>
      </c>
      <c r="H63" s="12">
        <f t="shared" ca="1" si="35"/>
        <v>412093.65250492992</v>
      </c>
      <c r="I63" s="12">
        <f t="shared" ca="1" si="36"/>
        <v>474628.95524927264</v>
      </c>
      <c r="J63" s="12">
        <f t="shared" ca="1" si="37"/>
        <v>544088.62623954716</v>
      </c>
      <c r="K63" s="12">
        <f t="shared" ca="1" si="38"/>
        <v>532997.41915344202</v>
      </c>
      <c r="L63" s="12">
        <f t="shared" ca="1" si="39"/>
        <v>636161.53205307841</v>
      </c>
      <c r="M63" s="12">
        <f t="shared" ca="1" si="40"/>
        <v>660057.77815530112</v>
      </c>
      <c r="N63" s="12">
        <f t="shared" ca="1" si="41"/>
        <v>615686.65149776719</v>
      </c>
      <c r="O63" s="12">
        <f t="shared" ca="1" si="42"/>
        <v>694570.26505477575</v>
      </c>
      <c r="P63" s="12">
        <f t="shared" ca="1" si="43"/>
        <v>777199.21359746682</v>
      </c>
      <c r="Q63" s="12">
        <f t="shared" ca="1" si="44"/>
        <v>728616.4513438578</v>
      </c>
      <c r="R63" s="12">
        <f t="shared" ca="1" si="45"/>
        <v>755989.34247040178</v>
      </c>
      <c r="S63" s="12">
        <f t="shared" ca="1" si="46"/>
        <v>1042340.4509147122</v>
      </c>
      <c r="T63" s="12">
        <f t="shared" ca="1" si="47"/>
        <v>1208136.070261036</v>
      </c>
      <c r="U63" s="12">
        <f t="shared" ca="1" si="48"/>
        <v>1166206.0045501757</v>
      </c>
      <c r="V63" s="12">
        <f t="shared" ca="1" si="49"/>
        <v>1454135.8758029207</v>
      </c>
      <c r="W63" s="12">
        <f t="shared" ca="1" si="50"/>
        <v>1360234.0109600171</v>
      </c>
      <c r="X63" s="12">
        <f t="shared" ca="1" si="51"/>
        <v>1314111.0583328067</v>
      </c>
      <c r="Y63" s="12">
        <f t="shared" ca="1" si="52"/>
        <v>1444740.3589123795</v>
      </c>
      <c r="Z63" s="12">
        <f t="shared" ca="1" si="53"/>
        <v>1425741.6629813635</v>
      </c>
      <c r="AA63" s="12">
        <f t="shared" ca="1" si="54"/>
        <v>1542267.8930107581</v>
      </c>
      <c r="AB63" s="12">
        <f t="shared" ca="1" si="55"/>
        <v>1719225.5058733113</v>
      </c>
      <c r="AC63" s="12">
        <f t="shared" ca="1" si="56"/>
        <v>2032255.6703508678</v>
      </c>
      <c r="AD63" s="12">
        <f t="shared" ca="1" si="57"/>
        <v>2367685.8943984797</v>
      </c>
      <c r="AE63" s="12">
        <f t="shared" ca="1" si="58"/>
        <v>2204106.8393431879</v>
      </c>
      <c r="AF63" s="12">
        <f t="shared" ca="1" si="59"/>
        <v>2320831.1330827801</v>
      </c>
      <c r="AG63" s="12">
        <f t="shared" ca="1" si="60"/>
        <v>2456889.0655764081</v>
      </c>
      <c r="AH63" s="12">
        <f t="shared" ca="1" si="61"/>
        <v>2456889.0655764081</v>
      </c>
    </row>
    <row r="64" spans="2:34" x14ac:dyDescent="0.25">
      <c r="B64" s="6">
        <v>48</v>
      </c>
      <c r="D64" s="12">
        <f t="shared" ca="1" si="31"/>
        <v>228847.03323495001</v>
      </c>
      <c r="E64" s="12">
        <f t="shared" ca="1" si="32"/>
        <v>275092.1920823417</v>
      </c>
      <c r="F64" s="12">
        <f t="shared" ca="1" si="33"/>
        <v>360619.93025409186</v>
      </c>
      <c r="G64" s="12">
        <f t="shared" ca="1" si="34"/>
        <v>357549.73214458546</v>
      </c>
      <c r="H64" s="12">
        <f t="shared" ca="1" si="35"/>
        <v>431346.53117802052</v>
      </c>
      <c r="I64" s="12">
        <f t="shared" ca="1" si="36"/>
        <v>469419.11949547671</v>
      </c>
      <c r="J64" s="12">
        <f t="shared" ca="1" si="37"/>
        <v>475842.74569741776</v>
      </c>
      <c r="K64" s="12">
        <f t="shared" ca="1" si="38"/>
        <v>507545.3893801173</v>
      </c>
      <c r="L64" s="12">
        <f t="shared" ca="1" si="39"/>
        <v>665447.52959810407</v>
      </c>
      <c r="M64" s="12">
        <f t="shared" ca="1" si="40"/>
        <v>876711.83723149612</v>
      </c>
      <c r="N64" s="12">
        <f t="shared" ca="1" si="41"/>
        <v>875452.97267366108</v>
      </c>
      <c r="O64" s="12">
        <f t="shared" ca="1" si="42"/>
        <v>988274.72743549629</v>
      </c>
      <c r="P64" s="12">
        <f t="shared" ca="1" si="43"/>
        <v>1016542.5631544098</v>
      </c>
      <c r="Q64" s="12">
        <f t="shared" ca="1" si="44"/>
        <v>1078959.6611247465</v>
      </c>
      <c r="R64" s="12">
        <f t="shared" ca="1" si="45"/>
        <v>1119974.5208957286</v>
      </c>
      <c r="S64" s="12">
        <f t="shared" ca="1" si="46"/>
        <v>1224483.423473082</v>
      </c>
      <c r="T64" s="12">
        <f t="shared" ca="1" si="47"/>
        <v>1085497.8207336783</v>
      </c>
      <c r="U64" s="12">
        <f t="shared" ca="1" si="48"/>
        <v>1189498.4542839585</v>
      </c>
      <c r="V64" s="12">
        <f t="shared" ca="1" si="49"/>
        <v>1546293.3657092841</v>
      </c>
      <c r="W64" s="12">
        <f t="shared" ca="1" si="50"/>
        <v>1909409.2287417487</v>
      </c>
      <c r="X64" s="12">
        <f t="shared" ca="1" si="51"/>
        <v>2030832.8813375777</v>
      </c>
      <c r="Y64" s="12">
        <f t="shared" ca="1" si="52"/>
        <v>2293923.3044156334</v>
      </c>
      <c r="Z64" s="12">
        <f t="shared" ca="1" si="53"/>
        <v>2497996.6938754329</v>
      </c>
      <c r="AA64" s="12">
        <f t="shared" ca="1" si="54"/>
        <v>2882788.4227012643</v>
      </c>
      <c r="AB64" s="12">
        <f t="shared" ca="1" si="55"/>
        <v>3121215.4807172017</v>
      </c>
      <c r="AC64" s="12">
        <f t="shared" ca="1" si="56"/>
        <v>3643206.8154502548</v>
      </c>
      <c r="AD64" s="12">
        <f t="shared" ca="1" si="57"/>
        <v>4193877.4431947628</v>
      </c>
      <c r="AE64" s="12">
        <f t="shared" ca="1" si="58"/>
        <v>3589717.8600987401</v>
      </c>
      <c r="AF64" s="12">
        <f t="shared" ca="1" si="59"/>
        <v>4188459.0086251171</v>
      </c>
      <c r="AG64" s="12">
        <f t="shared" ca="1" si="60"/>
        <v>4375103.5548358085</v>
      </c>
      <c r="AH64" s="12">
        <f t="shared" ca="1" si="61"/>
        <v>4375103.5548358085</v>
      </c>
    </row>
    <row r="65" spans="2:34" x14ac:dyDescent="0.25">
      <c r="B65" s="6">
        <v>49</v>
      </c>
      <c r="D65" s="12">
        <f t="shared" ca="1" si="31"/>
        <v>196936.62246580559</v>
      </c>
      <c r="E65" s="12">
        <f t="shared" ca="1" si="32"/>
        <v>221299.25486969843</v>
      </c>
      <c r="F65" s="12">
        <f t="shared" ca="1" si="33"/>
        <v>290832.25199285726</v>
      </c>
      <c r="G65" s="12">
        <f t="shared" ca="1" si="34"/>
        <v>317625.37057181541</v>
      </c>
      <c r="H65" s="12">
        <f t="shared" ca="1" si="35"/>
        <v>358285.15871696663</v>
      </c>
      <c r="I65" s="12">
        <f t="shared" ca="1" si="36"/>
        <v>338911.74032719998</v>
      </c>
      <c r="J65" s="12">
        <f t="shared" ca="1" si="37"/>
        <v>365158.94682470459</v>
      </c>
      <c r="K65" s="12">
        <f t="shared" ca="1" si="38"/>
        <v>447342.56563720875</v>
      </c>
      <c r="L65" s="12">
        <f t="shared" ca="1" si="39"/>
        <v>458988.64080076769</v>
      </c>
      <c r="M65" s="12">
        <f t="shared" ca="1" si="40"/>
        <v>480813.00788291451</v>
      </c>
      <c r="N65" s="12">
        <f t="shared" ca="1" si="41"/>
        <v>434856.61223478947</v>
      </c>
      <c r="O65" s="12">
        <f t="shared" ca="1" si="42"/>
        <v>518080.82466815301</v>
      </c>
      <c r="P65" s="12">
        <f t="shared" ca="1" si="43"/>
        <v>539236.25431760505</v>
      </c>
      <c r="Q65" s="12">
        <f t="shared" ca="1" si="44"/>
        <v>609316.10457937245</v>
      </c>
      <c r="R65" s="12">
        <f t="shared" ca="1" si="45"/>
        <v>675223.45903445652</v>
      </c>
      <c r="S65" s="12">
        <f t="shared" ca="1" si="46"/>
        <v>669738.91970337066</v>
      </c>
      <c r="T65" s="12">
        <f t="shared" ca="1" si="47"/>
        <v>692806.91322633368</v>
      </c>
      <c r="U65" s="12">
        <f t="shared" ca="1" si="48"/>
        <v>794647.93064225942</v>
      </c>
      <c r="V65" s="12">
        <f t="shared" ca="1" si="49"/>
        <v>947830.99033075501</v>
      </c>
      <c r="W65" s="12">
        <f t="shared" ca="1" si="50"/>
        <v>1189789.4154639738</v>
      </c>
      <c r="X65" s="12">
        <f t="shared" ca="1" si="51"/>
        <v>1145047.4880812964</v>
      </c>
      <c r="Y65" s="12">
        <f t="shared" ca="1" si="52"/>
        <v>1334083.7263812982</v>
      </c>
      <c r="Z65" s="12">
        <f t="shared" ca="1" si="53"/>
        <v>1561924.0841734631</v>
      </c>
      <c r="AA65" s="12">
        <f t="shared" ca="1" si="54"/>
        <v>1728193.2834735594</v>
      </c>
      <c r="AB65" s="12">
        <f t="shared" ca="1" si="55"/>
        <v>1752124.4023807575</v>
      </c>
      <c r="AC65" s="12">
        <f t="shared" ca="1" si="56"/>
        <v>1968515.9430056061</v>
      </c>
      <c r="AD65" s="12">
        <f t="shared" ca="1" si="57"/>
        <v>2472204.0840994711</v>
      </c>
      <c r="AE65" s="12">
        <f t="shared" ca="1" si="58"/>
        <v>2742012.7377273883</v>
      </c>
      <c r="AF65" s="12">
        <f t="shared" ca="1" si="59"/>
        <v>2897329.8783128508</v>
      </c>
      <c r="AG65" s="12">
        <f t="shared" ca="1" si="60"/>
        <v>3244537.561528035</v>
      </c>
      <c r="AH65" s="12">
        <f t="shared" ca="1" si="61"/>
        <v>3244537.561528035</v>
      </c>
    </row>
    <row r="66" spans="2:34" x14ac:dyDescent="0.25">
      <c r="B66" s="6">
        <v>50</v>
      </c>
      <c r="D66" s="12">
        <f t="shared" ca="1" si="31"/>
        <v>171741.8628472008</v>
      </c>
      <c r="E66" s="12">
        <f t="shared" ca="1" si="32"/>
        <v>177268.23350817524</v>
      </c>
      <c r="F66" s="12">
        <f t="shared" ca="1" si="33"/>
        <v>160183.46641473225</v>
      </c>
      <c r="G66" s="12">
        <f t="shared" ca="1" si="34"/>
        <v>199286.09261002624</v>
      </c>
      <c r="H66" s="12">
        <f t="shared" ca="1" si="35"/>
        <v>244368.07052414899</v>
      </c>
      <c r="I66" s="12">
        <f t="shared" ca="1" si="36"/>
        <v>247051.51962276208</v>
      </c>
      <c r="J66" s="12">
        <f t="shared" ca="1" si="37"/>
        <v>303105.83184138243</v>
      </c>
      <c r="K66" s="12">
        <f t="shared" ca="1" si="38"/>
        <v>356763.46979959862</v>
      </c>
      <c r="L66" s="12">
        <f t="shared" ca="1" si="39"/>
        <v>447745.51166584645</v>
      </c>
      <c r="M66" s="12">
        <f t="shared" ca="1" si="40"/>
        <v>433825.8383881317</v>
      </c>
      <c r="N66" s="12">
        <f t="shared" ca="1" si="41"/>
        <v>459389.35743673093</v>
      </c>
      <c r="O66" s="12">
        <f t="shared" ca="1" si="42"/>
        <v>527125.24379895162</v>
      </c>
      <c r="P66" s="12">
        <f t="shared" ca="1" si="43"/>
        <v>625987.28624227317</v>
      </c>
      <c r="Q66" s="12">
        <f t="shared" ca="1" si="44"/>
        <v>795393.44704556908</v>
      </c>
      <c r="R66" s="12">
        <f t="shared" ca="1" si="45"/>
        <v>892317.47704238992</v>
      </c>
      <c r="S66" s="12">
        <f t="shared" ca="1" si="46"/>
        <v>975341.63128997013</v>
      </c>
      <c r="T66" s="12">
        <f t="shared" ca="1" si="47"/>
        <v>1100828.8816279771</v>
      </c>
      <c r="U66" s="12">
        <f t="shared" ca="1" si="48"/>
        <v>1108015.8887263529</v>
      </c>
      <c r="V66" s="12">
        <f t="shared" ca="1" si="49"/>
        <v>1371825.2141242477</v>
      </c>
      <c r="W66" s="12">
        <f t="shared" ca="1" si="50"/>
        <v>1527581.0730848287</v>
      </c>
      <c r="X66" s="12">
        <f t="shared" ca="1" si="51"/>
        <v>1856128.7998311426</v>
      </c>
      <c r="Y66" s="12">
        <f t="shared" ca="1" si="52"/>
        <v>1974396.48547145</v>
      </c>
      <c r="Z66" s="12">
        <f t="shared" ca="1" si="53"/>
        <v>2289771.2060367335</v>
      </c>
      <c r="AA66" s="12">
        <f t="shared" ca="1" si="54"/>
        <v>2289950.7040813938</v>
      </c>
      <c r="AB66" s="12">
        <f t="shared" ca="1" si="55"/>
        <v>2396546.4080414413</v>
      </c>
      <c r="AC66" s="12">
        <f t="shared" ca="1" si="56"/>
        <v>2748498.640279091</v>
      </c>
      <c r="AD66" s="12">
        <f t="shared" ca="1" si="57"/>
        <v>2769129.8753739083</v>
      </c>
      <c r="AE66" s="12">
        <f t="shared" ca="1" si="58"/>
        <v>3062189.7359807906</v>
      </c>
      <c r="AF66" s="12">
        <f t="shared" ca="1" si="59"/>
        <v>3245694.1473134477</v>
      </c>
      <c r="AG66" s="12">
        <f t="shared" ca="1" si="60"/>
        <v>3225474.250460797</v>
      </c>
      <c r="AH66" s="12">
        <f t="shared" ca="1" si="61"/>
        <v>3225474.250460797</v>
      </c>
    </row>
    <row r="67" spans="2:34" x14ac:dyDescent="0.25">
      <c r="B67" s="6">
        <v>51</v>
      </c>
      <c r="D67" s="12">
        <f t="shared" ca="1" si="31"/>
        <v>182461.31251931307</v>
      </c>
      <c r="E67" s="12">
        <f t="shared" ca="1" si="32"/>
        <v>197129.48475995113</v>
      </c>
      <c r="F67" s="12">
        <f t="shared" ca="1" si="33"/>
        <v>263093.40820555226</v>
      </c>
      <c r="G67" s="12">
        <f t="shared" ca="1" si="34"/>
        <v>277755.74283391563</v>
      </c>
      <c r="H67" s="12">
        <f t="shared" ca="1" si="35"/>
        <v>271390.50681391102</v>
      </c>
      <c r="I67" s="12">
        <f t="shared" ca="1" si="36"/>
        <v>345092.87070426124</v>
      </c>
      <c r="J67" s="12">
        <f t="shared" ca="1" si="37"/>
        <v>406899.37230881979</v>
      </c>
      <c r="K67" s="12">
        <f t="shared" ca="1" si="38"/>
        <v>438898.52395576012</v>
      </c>
      <c r="L67" s="12">
        <f t="shared" ca="1" si="39"/>
        <v>516404.61971725879</v>
      </c>
      <c r="M67" s="12">
        <f t="shared" ca="1" si="40"/>
        <v>609341.24980429688</v>
      </c>
      <c r="N67" s="12">
        <f t="shared" ca="1" si="41"/>
        <v>707756.03603789373</v>
      </c>
      <c r="O67" s="12">
        <f t="shared" ca="1" si="42"/>
        <v>642902.76649775531</v>
      </c>
      <c r="P67" s="12">
        <f t="shared" ca="1" si="43"/>
        <v>786956.22930700437</v>
      </c>
      <c r="Q67" s="12">
        <f t="shared" ca="1" si="44"/>
        <v>789676.22294096334</v>
      </c>
      <c r="R67" s="12">
        <f t="shared" ca="1" si="45"/>
        <v>799546.56476324145</v>
      </c>
      <c r="S67" s="12">
        <f t="shared" ca="1" si="46"/>
        <v>908958.80300707452</v>
      </c>
      <c r="T67" s="12">
        <f t="shared" ca="1" si="47"/>
        <v>936009.52207717649</v>
      </c>
      <c r="U67" s="12">
        <f t="shared" ca="1" si="48"/>
        <v>1286983.5644413088</v>
      </c>
      <c r="V67" s="12">
        <f t="shared" ca="1" si="49"/>
        <v>1400386.1874228499</v>
      </c>
      <c r="W67" s="12">
        <f t="shared" ca="1" si="50"/>
        <v>1546074.3675977234</v>
      </c>
      <c r="X67" s="12">
        <f t="shared" ca="1" si="51"/>
        <v>1917357.40028185</v>
      </c>
      <c r="Y67" s="12">
        <f t="shared" ca="1" si="52"/>
        <v>2169925.5041735494</v>
      </c>
      <c r="Z67" s="12">
        <f t="shared" ca="1" si="53"/>
        <v>2520397.5337668229</v>
      </c>
      <c r="AA67" s="12">
        <f t="shared" ca="1" si="54"/>
        <v>1910468.2603527314</v>
      </c>
      <c r="AB67" s="12">
        <f t="shared" ca="1" si="55"/>
        <v>2038654.2930496004</v>
      </c>
      <c r="AC67" s="12">
        <f t="shared" ca="1" si="56"/>
        <v>1956501.163198696</v>
      </c>
      <c r="AD67" s="12">
        <f t="shared" ca="1" si="57"/>
        <v>2401204.8011363074</v>
      </c>
      <c r="AE67" s="12">
        <f t="shared" ca="1" si="58"/>
        <v>2356753.353573468</v>
      </c>
      <c r="AF67" s="12">
        <f t="shared" ca="1" si="59"/>
        <v>2565965.4014983159</v>
      </c>
      <c r="AG67" s="12">
        <f t="shared" ca="1" si="60"/>
        <v>2740236.3256897014</v>
      </c>
      <c r="AH67" s="12">
        <f t="shared" ca="1" si="61"/>
        <v>2740236.3256897014</v>
      </c>
    </row>
    <row r="68" spans="2:34" x14ac:dyDescent="0.25">
      <c r="B68" s="6">
        <v>52</v>
      </c>
      <c r="D68" s="12">
        <f t="shared" ca="1" si="31"/>
        <v>190922.12403057847</v>
      </c>
      <c r="E68" s="12">
        <f t="shared" ca="1" si="32"/>
        <v>229807.00401656004</v>
      </c>
      <c r="F68" s="12">
        <f t="shared" ca="1" si="33"/>
        <v>266135.50559540535</v>
      </c>
      <c r="G68" s="12">
        <f t="shared" ca="1" si="34"/>
        <v>327629.01048166101</v>
      </c>
      <c r="H68" s="12">
        <f t="shared" ca="1" si="35"/>
        <v>339712.71996097645</v>
      </c>
      <c r="I68" s="12">
        <f t="shared" ca="1" si="36"/>
        <v>312932.13178134675</v>
      </c>
      <c r="J68" s="12">
        <f t="shared" ca="1" si="37"/>
        <v>362448.34847693262</v>
      </c>
      <c r="K68" s="12">
        <f t="shared" ca="1" si="38"/>
        <v>406612.68180701678</v>
      </c>
      <c r="L68" s="12">
        <f t="shared" ca="1" si="39"/>
        <v>536713.83799098223</v>
      </c>
      <c r="M68" s="12">
        <f t="shared" ca="1" si="40"/>
        <v>685009.49773199554</v>
      </c>
      <c r="N68" s="12">
        <f t="shared" ca="1" si="41"/>
        <v>719681.58803638548</v>
      </c>
      <c r="O68" s="12">
        <f t="shared" ca="1" si="42"/>
        <v>837881.7389314021</v>
      </c>
      <c r="P68" s="12">
        <f t="shared" ca="1" si="43"/>
        <v>978220.16842168523</v>
      </c>
      <c r="Q68" s="12">
        <f t="shared" ca="1" si="44"/>
        <v>970838.34013633698</v>
      </c>
      <c r="R68" s="12">
        <f t="shared" ca="1" si="45"/>
        <v>987785.59216355905</v>
      </c>
      <c r="S68" s="12">
        <f t="shared" ca="1" si="46"/>
        <v>1126489.0554672184</v>
      </c>
      <c r="T68" s="12">
        <f t="shared" ca="1" si="47"/>
        <v>1209713.8406157633</v>
      </c>
      <c r="U68" s="12">
        <f t="shared" ca="1" si="48"/>
        <v>1259820.0482132032</v>
      </c>
      <c r="V68" s="12">
        <f t="shared" ca="1" si="49"/>
        <v>1450914.3940868818</v>
      </c>
      <c r="W68" s="12">
        <f t="shared" ca="1" si="50"/>
        <v>1538958.7048335811</v>
      </c>
      <c r="X68" s="12">
        <f t="shared" ca="1" si="51"/>
        <v>1623523.1012312863</v>
      </c>
      <c r="Y68" s="12">
        <f t="shared" ca="1" si="52"/>
        <v>1989295.150061216</v>
      </c>
      <c r="Z68" s="12">
        <f t="shared" ca="1" si="53"/>
        <v>2074314.082930418</v>
      </c>
      <c r="AA68" s="12">
        <f t="shared" ca="1" si="54"/>
        <v>2562042.9702894464</v>
      </c>
      <c r="AB68" s="12">
        <f t="shared" ca="1" si="55"/>
        <v>2776949.691627712</v>
      </c>
      <c r="AC68" s="12">
        <f t="shared" ca="1" si="56"/>
        <v>2805640.13296192</v>
      </c>
      <c r="AD68" s="12">
        <f t="shared" ca="1" si="57"/>
        <v>3170986.4908590489</v>
      </c>
      <c r="AE68" s="12">
        <f t="shared" ca="1" si="58"/>
        <v>3233815.6207984653</v>
      </c>
      <c r="AF68" s="12">
        <f t="shared" ca="1" si="59"/>
        <v>3127751.464211497</v>
      </c>
      <c r="AG68" s="12">
        <f t="shared" ca="1" si="60"/>
        <v>3951494.1240597712</v>
      </c>
      <c r="AH68" s="12">
        <f t="shared" ca="1" si="61"/>
        <v>3951494.1240597712</v>
      </c>
    </row>
    <row r="69" spans="2:34" x14ac:dyDescent="0.25">
      <c r="B69" s="6">
        <v>53</v>
      </c>
      <c r="D69" s="12">
        <f t="shared" ca="1" si="31"/>
        <v>200471.82358650153</v>
      </c>
      <c r="E69" s="12">
        <f t="shared" ca="1" si="32"/>
        <v>214331.13365236612</v>
      </c>
      <c r="F69" s="12">
        <f t="shared" ca="1" si="33"/>
        <v>230561.65308291849</v>
      </c>
      <c r="G69" s="12">
        <f t="shared" ca="1" si="34"/>
        <v>235296.16494918297</v>
      </c>
      <c r="H69" s="12">
        <f t="shared" ca="1" si="35"/>
        <v>273735.42981780187</v>
      </c>
      <c r="I69" s="12">
        <f t="shared" ca="1" si="36"/>
        <v>366391.01959987864</v>
      </c>
      <c r="J69" s="12">
        <f t="shared" ca="1" si="37"/>
        <v>372780.10423788155</v>
      </c>
      <c r="K69" s="12">
        <f t="shared" ca="1" si="38"/>
        <v>501276.13030137977</v>
      </c>
      <c r="L69" s="12">
        <f t="shared" ca="1" si="39"/>
        <v>526971.60753453453</v>
      </c>
      <c r="M69" s="12">
        <f t="shared" ca="1" si="40"/>
        <v>535413.61230920162</v>
      </c>
      <c r="N69" s="12">
        <f t="shared" ca="1" si="41"/>
        <v>539155.67623748549</v>
      </c>
      <c r="O69" s="12">
        <f t="shared" ca="1" si="42"/>
        <v>579864.91515482985</v>
      </c>
      <c r="P69" s="12">
        <f t="shared" ca="1" si="43"/>
        <v>518070.56898905564</v>
      </c>
      <c r="Q69" s="12">
        <f t="shared" ca="1" si="44"/>
        <v>503504.07472775993</v>
      </c>
      <c r="R69" s="12">
        <f t="shared" ca="1" si="45"/>
        <v>567552.89007920574</v>
      </c>
      <c r="S69" s="12">
        <f t="shared" ca="1" si="46"/>
        <v>551698.27752794244</v>
      </c>
      <c r="T69" s="12">
        <f t="shared" ca="1" si="47"/>
        <v>680881.66644657589</v>
      </c>
      <c r="U69" s="12">
        <f t="shared" ca="1" si="48"/>
        <v>661196.60014557675</v>
      </c>
      <c r="V69" s="12">
        <f t="shared" ca="1" si="49"/>
        <v>660369.27955025388</v>
      </c>
      <c r="W69" s="12">
        <f t="shared" ca="1" si="50"/>
        <v>639386.49606912874</v>
      </c>
      <c r="X69" s="12">
        <f t="shared" ca="1" si="51"/>
        <v>643796.06388399261</v>
      </c>
      <c r="Y69" s="12">
        <f t="shared" ca="1" si="52"/>
        <v>796665.49167494592</v>
      </c>
      <c r="Z69" s="12">
        <f t="shared" ca="1" si="53"/>
        <v>779756.92460149515</v>
      </c>
      <c r="AA69" s="12">
        <f t="shared" ca="1" si="54"/>
        <v>758374.87991602521</v>
      </c>
      <c r="AB69" s="12">
        <f t="shared" ca="1" si="55"/>
        <v>863364.34584762168</v>
      </c>
      <c r="AC69" s="12">
        <f t="shared" ca="1" si="56"/>
        <v>1101796.5466691894</v>
      </c>
      <c r="AD69" s="12">
        <f t="shared" ca="1" si="57"/>
        <v>1230154.1706398232</v>
      </c>
      <c r="AE69" s="12">
        <f t="shared" ca="1" si="58"/>
        <v>1267313.350687776</v>
      </c>
      <c r="AF69" s="12">
        <f t="shared" ca="1" si="59"/>
        <v>1481648.4005394238</v>
      </c>
      <c r="AG69" s="12">
        <f t="shared" ca="1" si="60"/>
        <v>1527178.8941906535</v>
      </c>
      <c r="AH69" s="12">
        <f t="shared" ca="1" si="61"/>
        <v>1527178.8941906535</v>
      </c>
    </row>
    <row r="70" spans="2:34" x14ac:dyDescent="0.25">
      <c r="B70" s="6">
        <v>54</v>
      </c>
      <c r="D70" s="12">
        <f t="shared" ca="1" si="31"/>
        <v>186859.46208984969</v>
      </c>
      <c r="E70" s="12">
        <f t="shared" ca="1" si="32"/>
        <v>178836.35914713016</v>
      </c>
      <c r="F70" s="12">
        <f t="shared" ca="1" si="33"/>
        <v>242976.55068027673</v>
      </c>
      <c r="G70" s="12">
        <f t="shared" ca="1" si="34"/>
        <v>252920.34695482595</v>
      </c>
      <c r="H70" s="12">
        <f t="shared" ca="1" si="35"/>
        <v>350916.75342531077</v>
      </c>
      <c r="I70" s="12">
        <f t="shared" ca="1" si="36"/>
        <v>412037.58685664897</v>
      </c>
      <c r="J70" s="12">
        <f t="shared" ca="1" si="37"/>
        <v>395597.60396574379</v>
      </c>
      <c r="K70" s="12">
        <f t="shared" ca="1" si="38"/>
        <v>443277.46314857947</v>
      </c>
      <c r="L70" s="12">
        <f t="shared" ca="1" si="39"/>
        <v>527027.35340574454</v>
      </c>
      <c r="M70" s="12">
        <f t="shared" ca="1" si="40"/>
        <v>604643.12204270379</v>
      </c>
      <c r="N70" s="12">
        <f t="shared" ca="1" si="41"/>
        <v>773030.19553874957</v>
      </c>
      <c r="O70" s="12">
        <f t="shared" ca="1" si="42"/>
        <v>709368.77335106127</v>
      </c>
      <c r="P70" s="12">
        <f t="shared" ca="1" si="43"/>
        <v>589048.11630177859</v>
      </c>
      <c r="Q70" s="12">
        <f t="shared" ca="1" si="44"/>
        <v>644709.97807832656</v>
      </c>
      <c r="R70" s="12">
        <f t="shared" ca="1" si="45"/>
        <v>732254.18794041651</v>
      </c>
      <c r="S70" s="12">
        <f t="shared" ca="1" si="46"/>
        <v>876616.64813561598</v>
      </c>
      <c r="T70" s="12">
        <f t="shared" ca="1" si="47"/>
        <v>890481.68890065688</v>
      </c>
      <c r="U70" s="12">
        <f t="shared" ca="1" si="48"/>
        <v>947161.21574154438</v>
      </c>
      <c r="V70" s="12">
        <f t="shared" ca="1" si="49"/>
        <v>889304.55513392889</v>
      </c>
      <c r="W70" s="12">
        <f t="shared" ca="1" si="50"/>
        <v>972372.27344197792</v>
      </c>
      <c r="X70" s="12">
        <f t="shared" ca="1" si="51"/>
        <v>1164525.6253147225</v>
      </c>
      <c r="Y70" s="12">
        <f t="shared" ca="1" si="52"/>
        <v>1267332.7965032607</v>
      </c>
      <c r="Z70" s="12">
        <f t="shared" ca="1" si="53"/>
        <v>1124709.9482558786</v>
      </c>
      <c r="AA70" s="12">
        <f t="shared" ca="1" si="54"/>
        <v>1161677.446494444</v>
      </c>
      <c r="AB70" s="12">
        <f t="shared" ca="1" si="55"/>
        <v>993666.58257536637</v>
      </c>
      <c r="AC70" s="12">
        <f t="shared" ca="1" si="56"/>
        <v>774583.88320395746</v>
      </c>
      <c r="AD70" s="12">
        <f t="shared" ca="1" si="57"/>
        <v>996774.15211172984</v>
      </c>
      <c r="AE70" s="12">
        <f t="shared" ca="1" si="58"/>
        <v>1036873.709369128</v>
      </c>
      <c r="AF70" s="12">
        <f t="shared" ca="1" si="59"/>
        <v>1216733.0574610597</v>
      </c>
      <c r="AG70" s="12">
        <f t="shared" ca="1" si="60"/>
        <v>1383388.0608672316</v>
      </c>
      <c r="AH70" s="12">
        <f t="shared" ca="1" si="61"/>
        <v>1383388.0608672316</v>
      </c>
    </row>
    <row r="71" spans="2:34" x14ac:dyDescent="0.25">
      <c r="B71" s="6">
        <v>55</v>
      </c>
      <c r="D71" s="12">
        <f t="shared" ca="1" si="31"/>
        <v>198191.70191767139</v>
      </c>
      <c r="E71" s="12">
        <f t="shared" ca="1" si="32"/>
        <v>218774.6954595276</v>
      </c>
      <c r="F71" s="12">
        <f t="shared" ca="1" si="33"/>
        <v>270147.23103861115</v>
      </c>
      <c r="G71" s="12">
        <f t="shared" ca="1" si="34"/>
        <v>310615.81715980265</v>
      </c>
      <c r="H71" s="12">
        <f t="shared" ca="1" si="35"/>
        <v>331506.9434403234</v>
      </c>
      <c r="I71" s="12">
        <f t="shared" ca="1" si="36"/>
        <v>404836.74280714383</v>
      </c>
      <c r="J71" s="12">
        <f t="shared" ca="1" si="37"/>
        <v>406345.40206453466</v>
      </c>
      <c r="K71" s="12">
        <f t="shared" ca="1" si="38"/>
        <v>439671.00719896331</v>
      </c>
      <c r="L71" s="12">
        <f t="shared" ca="1" si="39"/>
        <v>590659.3067849963</v>
      </c>
      <c r="M71" s="12">
        <f t="shared" ca="1" si="40"/>
        <v>628783.96947954735</v>
      </c>
      <c r="N71" s="12">
        <f t="shared" ca="1" si="41"/>
        <v>556104.19917940546</v>
      </c>
      <c r="O71" s="12">
        <f t="shared" ca="1" si="42"/>
        <v>693395.66575444839</v>
      </c>
      <c r="P71" s="12">
        <f t="shared" ca="1" si="43"/>
        <v>899027.52073248615</v>
      </c>
      <c r="Q71" s="12">
        <f t="shared" ca="1" si="44"/>
        <v>1007997.3063949021</v>
      </c>
      <c r="R71" s="12">
        <f t="shared" ca="1" si="45"/>
        <v>1130984.6392849716</v>
      </c>
      <c r="S71" s="12">
        <f t="shared" ca="1" si="46"/>
        <v>1165023.4168719056</v>
      </c>
      <c r="T71" s="12">
        <f t="shared" ca="1" si="47"/>
        <v>1202000.7208718138</v>
      </c>
      <c r="U71" s="12">
        <f t="shared" ca="1" si="48"/>
        <v>1350680.1104650241</v>
      </c>
      <c r="V71" s="12">
        <f t="shared" ca="1" si="49"/>
        <v>1827571.4542524051</v>
      </c>
      <c r="W71" s="12">
        <f t="shared" ca="1" si="50"/>
        <v>1879820.8984018075</v>
      </c>
      <c r="X71" s="12">
        <f t="shared" ca="1" si="51"/>
        <v>1837419.7262002102</v>
      </c>
      <c r="Y71" s="12">
        <f t="shared" ca="1" si="52"/>
        <v>1938049.5122385668</v>
      </c>
      <c r="Z71" s="12">
        <f t="shared" ca="1" si="53"/>
        <v>1841286.0489376425</v>
      </c>
      <c r="AA71" s="12">
        <f t="shared" ca="1" si="54"/>
        <v>2304206.4956685812</v>
      </c>
      <c r="AB71" s="12">
        <f t="shared" ca="1" si="55"/>
        <v>2450381.8069749698</v>
      </c>
      <c r="AC71" s="12">
        <f t="shared" ca="1" si="56"/>
        <v>2882406.8472598139</v>
      </c>
      <c r="AD71" s="12">
        <f t="shared" ca="1" si="57"/>
        <v>2810128.5918230433</v>
      </c>
      <c r="AE71" s="12">
        <f t="shared" ca="1" si="58"/>
        <v>2840764.5277118818</v>
      </c>
      <c r="AF71" s="12">
        <f t="shared" ca="1" si="59"/>
        <v>3113098.3140570829</v>
      </c>
      <c r="AG71" s="12">
        <f t="shared" ca="1" si="60"/>
        <v>3061600.5836421004</v>
      </c>
      <c r="AH71" s="12">
        <f t="shared" ca="1" si="61"/>
        <v>3061600.5836421004</v>
      </c>
    </row>
    <row r="72" spans="2:34" x14ac:dyDescent="0.25">
      <c r="B72" s="6">
        <v>56</v>
      </c>
      <c r="D72" s="12">
        <f t="shared" ca="1" si="31"/>
        <v>172747.98530864212</v>
      </c>
      <c r="E72" s="12">
        <f t="shared" ca="1" si="32"/>
        <v>203782.67361150327</v>
      </c>
      <c r="F72" s="12">
        <f t="shared" ca="1" si="33"/>
        <v>214672.80260274126</v>
      </c>
      <c r="G72" s="12">
        <f t="shared" ca="1" si="34"/>
        <v>230280.02980385858</v>
      </c>
      <c r="H72" s="12">
        <f t="shared" ca="1" si="35"/>
        <v>256384.59133705875</v>
      </c>
      <c r="I72" s="12">
        <f t="shared" ca="1" si="36"/>
        <v>331539.35184452351</v>
      </c>
      <c r="J72" s="12">
        <f t="shared" ca="1" si="37"/>
        <v>360667.05306018092</v>
      </c>
      <c r="K72" s="12">
        <f t="shared" ca="1" si="38"/>
        <v>375599.47800367727</v>
      </c>
      <c r="L72" s="12">
        <f t="shared" ca="1" si="39"/>
        <v>434965.71807267348</v>
      </c>
      <c r="M72" s="12">
        <f t="shared" ca="1" si="40"/>
        <v>486158.51304602972</v>
      </c>
      <c r="N72" s="12">
        <f t="shared" ca="1" si="41"/>
        <v>614914.61014920298</v>
      </c>
      <c r="O72" s="12">
        <f t="shared" ca="1" si="42"/>
        <v>784219.39890696178</v>
      </c>
      <c r="P72" s="12">
        <f t="shared" ca="1" si="43"/>
        <v>890068.01921290311</v>
      </c>
      <c r="Q72" s="12">
        <f t="shared" ca="1" si="44"/>
        <v>1066921.5428434524</v>
      </c>
      <c r="R72" s="12">
        <f t="shared" ca="1" si="45"/>
        <v>1064320.0890061993</v>
      </c>
      <c r="S72" s="12">
        <f t="shared" ca="1" si="46"/>
        <v>956953.23461168353</v>
      </c>
      <c r="T72" s="12">
        <f t="shared" ca="1" si="47"/>
        <v>1053758.4600221831</v>
      </c>
      <c r="U72" s="12">
        <f t="shared" ca="1" si="48"/>
        <v>1058699.5789454591</v>
      </c>
      <c r="V72" s="12">
        <f t="shared" ca="1" si="49"/>
        <v>955532.36634955008</v>
      </c>
      <c r="W72" s="12">
        <f t="shared" ca="1" si="50"/>
        <v>1020753.7975671147</v>
      </c>
      <c r="X72" s="12">
        <f t="shared" ca="1" si="51"/>
        <v>1074526.5022379961</v>
      </c>
      <c r="Y72" s="12">
        <f t="shared" ca="1" si="52"/>
        <v>1058210.9983818787</v>
      </c>
      <c r="Z72" s="12">
        <f t="shared" ca="1" si="53"/>
        <v>1182184.0686916842</v>
      </c>
      <c r="AA72" s="12">
        <f t="shared" ca="1" si="54"/>
        <v>1508664.5744853411</v>
      </c>
      <c r="AB72" s="12">
        <f t="shared" ca="1" si="55"/>
        <v>1217134.5837345056</v>
      </c>
      <c r="AC72" s="12">
        <f t="shared" ca="1" si="56"/>
        <v>1114234.3137311214</v>
      </c>
      <c r="AD72" s="12">
        <f t="shared" ca="1" si="57"/>
        <v>1228336.0964187342</v>
      </c>
      <c r="AE72" s="12">
        <f t="shared" ca="1" si="58"/>
        <v>1225296.9797710157</v>
      </c>
      <c r="AF72" s="12">
        <f t="shared" ca="1" si="59"/>
        <v>1398962.7876704042</v>
      </c>
      <c r="AG72" s="12">
        <f t="shared" ca="1" si="60"/>
        <v>1745808.7110487826</v>
      </c>
      <c r="AH72" s="12">
        <f t="shared" ca="1" si="61"/>
        <v>1745808.7110487826</v>
      </c>
    </row>
    <row r="73" spans="2:34" x14ac:dyDescent="0.25">
      <c r="B73" s="6">
        <v>57</v>
      </c>
      <c r="D73" s="12">
        <f t="shared" ca="1" si="31"/>
        <v>194491.52396201697</v>
      </c>
      <c r="E73" s="12">
        <f t="shared" ca="1" si="32"/>
        <v>232478.79777055554</v>
      </c>
      <c r="F73" s="12">
        <f t="shared" ca="1" si="33"/>
        <v>276174.34684165497</v>
      </c>
      <c r="G73" s="12">
        <f t="shared" ca="1" si="34"/>
        <v>294025.78054238623</v>
      </c>
      <c r="H73" s="12">
        <f t="shared" ca="1" si="35"/>
        <v>298956.62387734902</v>
      </c>
      <c r="I73" s="12">
        <f t="shared" ca="1" si="36"/>
        <v>358641.70909931033</v>
      </c>
      <c r="J73" s="12">
        <f t="shared" ca="1" si="37"/>
        <v>462673.05912498775</v>
      </c>
      <c r="K73" s="12">
        <f t="shared" ca="1" si="38"/>
        <v>436971.26672057272</v>
      </c>
      <c r="L73" s="12">
        <f t="shared" ca="1" si="39"/>
        <v>541679.32109797257</v>
      </c>
      <c r="M73" s="12">
        <f t="shared" ca="1" si="40"/>
        <v>591777.17026495573</v>
      </c>
      <c r="N73" s="12">
        <f t="shared" ca="1" si="41"/>
        <v>549636.78115157038</v>
      </c>
      <c r="O73" s="12">
        <f t="shared" ca="1" si="42"/>
        <v>656995.18350762676</v>
      </c>
      <c r="P73" s="12">
        <f t="shared" ca="1" si="43"/>
        <v>707594.09907526709</v>
      </c>
      <c r="Q73" s="12">
        <f t="shared" ca="1" si="44"/>
        <v>786500.15440855711</v>
      </c>
      <c r="R73" s="12">
        <f t="shared" ca="1" si="45"/>
        <v>655480.87042047794</v>
      </c>
      <c r="S73" s="12">
        <f t="shared" ca="1" si="46"/>
        <v>770909.26230597077</v>
      </c>
      <c r="T73" s="12">
        <f t="shared" ca="1" si="47"/>
        <v>966222.30816617562</v>
      </c>
      <c r="U73" s="12">
        <f t="shared" ca="1" si="48"/>
        <v>953756.9143798094</v>
      </c>
      <c r="V73" s="12">
        <f t="shared" ca="1" si="49"/>
        <v>1087974.6053617212</v>
      </c>
      <c r="W73" s="12">
        <f t="shared" ca="1" si="50"/>
        <v>1407128.198362516</v>
      </c>
      <c r="X73" s="12">
        <f t="shared" ca="1" si="51"/>
        <v>1530589.4809441937</v>
      </c>
      <c r="Y73" s="12">
        <f t="shared" ca="1" si="52"/>
        <v>1622756.0898909774</v>
      </c>
      <c r="Z73" s="12">
        <f t="shared" ca="1" si="53"/>
        <v>2221314.0133447899</v>
      </c>
      <c r="AA73" s="12">
        <f t="shared" ca="1" si="54"/>
        <v>2128286.2994747022</v>
      </c>
      <c r="AB73" s="12">
        <f t="shared" ca="1" si="55"/>
        <v>2228762.3124767439</v>
      </c>
      <c r="AC73" s="12">
        <f t="shared" ca="1" si="56"/>
        <v>2426275.6309433784</v>
      </c>
      <c r="AD73" s="12">
        <f t="shared" ca="1" si="57"/>
        <v>2599615.8667431618</v>
      </c>
      <c r="AE73" s="12">
        <f t="shared" ca="1" si="58"/>
        <v>2680267.7225577957</v>
      </c>
      <c r="AF73" s="12">
        <f t="shared" ca="1" si="59"/>
        <v>3004854.1124819187</v>
      </c>
      <c r="AG73" s="12">
        <f t="shared" ca="1" si="60"/>
        <v>3601416.11315072</v>
      </c>
      <c r="AH73" s="12">
        <f t="shared" ca="1" si="61"/>
        <v>3601416.11315072</v>
      </c>
    </row>
    <row r="74" spans="2:34" x14ac:dyDescent="0.25">
      <c r="B74" s="6">
        <v>58</v>
      </c>
      <c r="D74" s="12">
        <f t="shared" ca="1" si="31"/>
        <v>155756.18984683472</v>
      </c>
      <c r="E74" s="12">
        <f t="shared" ca="1" si="32"/>
        <v>179423.71424044482</v>
      </c>
      <c r="F74" s="12">
        <f t="shared" ca="1" si="33"/>
        <v>224340.29449543671</v>
      </c>
      <c r="G74" s="12">
        <f t="shared" ca="1" si="34"/>
        <v>278711.09460187791</v>
      </c>
      <c r="H74" s="12">
        <f t="shared" ca="1" si="35"/>
        <v>276773.2841801116</v>
      </c>
      <c r="I74" s="12">
        <f t="shared" ca="1" si="36"/>
        <v>326031.12186086131</v>
      </c>
      <c r="J74" s="12">
        <f t="shared" ca="1" si="37"/>
        <v>380269.55319675192</v>
      </c>
      <c r="K74" s="12">
        <f t="shared" ca="1" si="38"/>
        <v>461907.6805716597</v>
      </c>
      <c r="L74" s="12">
        <f t="shared" ca="1" si="39"/>
        <v>515231.7147133543</v>
      </c>
      <c r="M74" s="12">
        <f t="shared" ca="1" si="40"/>
        <v>679449.86271902954</v>
      </c>
      <c r="N74" s="12">
        <f t="shared" ca="1" si="41"/>
        <v>712403.92734077445</v>
      </c>
      <c r="O74" s="12">
        <f t="shared" ca="1" si="42"/>
        <v>821417.37659027334</v>
      </c>
      <c r="P74" s="12">
        <f t="shared" ca="1" si="43"/>
        <v>1037915.5587420732</v>
      </c>
      <c r="Q74" s="12">
        <f t="shared" ca="1" si="44"/>
        <v>983097.20974334236</v>
      </c>
      <c r="R74" s="12">
        <f t="shared" ca="1" si="45"/>
        <v>1090087.4335593942</v>
      </c>
      <c r="S74" s="12">
        <f t="shared" ca="1" si="46"/>
        <v>1165249.4204978922</v>
      </c>
      <c r="T74" s="12">
        <f t="shared" ca="1" si="47"/>
        <v>1414326.4870800555</v>
      </c>
      <c r="U74" s="12">
        <f t="shared" ca="1" si="48"/>
        <v>1797882.6799053315</v>
      </c>
      <c r="V74" s="12">
        <f t="shared" ca="1" si="49"/>
        <v>1938444.2602998491</v>
      </c>
      <c r="W74" s="12">
        <f t="shared" ca="1" si="50"/>
        <v>2045014.7489674515</v>
      </c>
      <c r="X74" s="12">
        <f t="shared" ca="1" si="51"/>
        <v>2238733.6327596307</v>
      </c>
      <c r="Y74" s="12">
        <f t="shared" ca="1" si="52"/>
        <v>2591410.916870994</v>
      </c>
      <c r="Z74" s="12">
        <f t="shared" ca="1" si="53"/>
        <v>3021708.0816158513</v>
      </c>
      <c r="AA74" s="12">
        <f t="shared" ca="1" si="54"/>
        <v>3502190.2607134799</v>
      </c>
      <c r="AB74" s="12">
        <f t="shared" ca="1" si="55"/>
        <v>4950327.0780653078</v>
      </c>
      <c r="AC74" s="12">
        <f t="shared" ca="1" si="56"/>
        <v>5390685.4226024207</v>
      </c>
      <c r="AD74" s="12">
        <f t="shared" ca="1" si="57"/>
        <v>6947525.360596735</v>
      </c>
      <c r="AE74" s="12">
        <f t="shared" ca="1" si="58"/>
        <v>6310719.1482278621</v>
      </c>
      <c r="AF74" s="12">
        <f t="shared" ca="1" si="59"/>
        <v>7059615.2938384796</v>
      </c>
      <c r="AG74" s="12">
        <f t="shared" ca="1" si="60"/>
        <v>7410961.4439773327</v>
      </c>
      <c r="AH74" s="12">
        <f t="shared" ca="1" si="61"/>
        <v>7410961.4439773327</v>
      </c>
    </row>
    <row r="75" spans="2:34" x14ac:dyDescent="0.25">
      <c r="B75" s="6">
        <v>59</v>
      </c>
      <c r="D75" s="12">
        <f t="shared" ca="1" si="31"/>
        <v>167902.16593749556</v>
      </c>
      <c r="E75" s="12">
        <f t="shared" ca="1" si="32"/>
        <v>193214.62927031622</v>
      </c>
      <c r="F75" s="12">
        <f t="shared" ca="1" si="33"/>
        <v>222254.02623611144</v>
      </c>
      <c r="G75" s="12">
        <f t="shared" ca="1" si="34"/>
        <v>240720.58003717568</v>
      </c>
      <c r="H75" s="12">
        <f t="shared" ca="1" si="35"/>
        <v>259709.94517600443</v>
      </c>
      <c r="I75" s="12">
        <f t="shared" ca="1" si="36"/>
        <v>304102.80139542022</v>
      </c>
      <c r="J75" s="12">
        <f t="shared" ca="1" si="37"/>
        <v>294406.06345055491</v>
      </c>
      <c r="K75" s="12">
        <f t="shared" ca="1" si="38"/>
        <v>277032.50023906055</v>
      </c>
      <c r="L75" s="12">
        <f t="shared" ca="1" si="39"/>
        <v>366148.78592956014</v>
      </c>
      <c r="M75" s="12">
        <f t="shared" ca="1" si="40"/>
        <v>463801.59506172471</v>
      </c>
      <c r="N75" s="12">
        <f t="shared" ca="1" si="41"/>
        <v>557509.92678749061</v>
      </c>
      <c r="O75" s="12">
        <f t="shared" ca="1" si="42"/>
        <v>566302.28534077713</v>
      </c>
      <c r="P75" s="12">
        <f t="shared" ca="1" si="43"/>
        <v>492456.49890206149</v>
      </c>
      <c r="Q75" s="12">
        <f t="shared" ca="1" si="44"/>
        <v>511067.94907871267</v>
      </c>
      <c r="R75" s="12">
        <f t="shared" ca="1" si="45"/>
        <v>560475.90052626771</v>
      </c>
      <c r="S75" s="12">
        <f t="shared" ca="1" si="46"/>
        <v>440810.44651468197</v>
      </c>
      <c r="T75" s="12">
        <f t="shared" ca="1" si="47"/>
        <v>547523.27344270446</v>
      </c>
      <c r="U75" s="12">
        <f t="shared" ca="1" si="48"/>
        <v>639958.36122987035</v>
      </c>
      <c r="V75" s="12">
        <f t="shared" ca="1" si="49"/>
        <v>716813.38200128591</v>
      </c>
      <c r="W75" s="12">
        <f t="shared" ca="1" si="50"/>
        <v>758200.48336677707</v>
      </c>
      <c r="X75" s="12">
        <f t="shared" ca="1" si="51"/>
        <v>681704.20135399711</v>
      </c>
      <c r="Y75" s="12">
        <f t="shared" ca="1" si="52"/>
        <v>822804.34466259135</v>
      </c>
      <c r="Z75" s="12">
        <f t="shared" ca="1" si="53"/>
        <v>905853.51191988168</v>
      </c>
      <c r="AA75" s="12">
        <f t="shared" ca="1" si="54"/>
        <v>891763.61261402559</v>
      </c>
      <c r="AB75" s="12">
        <f t="shared" ca="1" si="55"/>
        <v>1099764.2320128246</v>
      </c>
      <c r="AC75" s="12">
        <f t="shared" ca="1" si="56"/>
        <v>1243866.8551655705</v>
      </c>
      <c r="AD75" s="12">
        <f t="shared" ca="1" si="57"/>
        <v>1511823.9312808451</v>
      </c>
      <c r="AE75" s="12">
        <f t="shared" ca="1" si="58"/>
        <v>1698684.4040295396</v>
      </c>
      <c r="AF75" s="12">
        <f t="shared" ca="1" si="59"/>
        <v>1432437.1862491472</v>
      </c>
      <c r="AG75" s="12">
        <f t="shared" ca="1" si="60"/>
        <v>1308533.8160925105</v>
      </c>
      <c r="AH75" s="12">
        <f t="shared" ca="1" si="61"/>
        <v>1308533.8160925105</v>
      </c>
    </row>
    <row r="76" spans="2:34" x14ac:dyDescent="0.25">
      <c r="B76" s="6">
        <v>60</v>
      </c>
      <c r="D76" s="12">
        <f t="shared" ca="1" si="31"/>
        <v>220896.30510913223</v>
      </c>
      <c r="E76" s="12">
        <f t="shared" ca="1" si="32"/>
        <v>299979.23897377844</v>
      </c>
      <c r="F76" s="12">
        <f t="shared" ca="1" si="33"/>
        <v>293982.15194103174</v>
      </c>
      <c r="G76" s="12">
        <f t="shared" ca="1" si="34"/>
        <v>303450.56084662909</v>
      </c>
      <c r="H76" s="12">
        <f t="shared" ca="1" si="35"/>
        <v>323400.17132110032</v>
      </c>
      <c r="I76" s="12">
        <f t="shared" ca="1" si="36"/>
        <v>308608.45701319451</v>
      </c>
      <c r="J76" s="12">
        <f t="shared" ca="1" si="37"/>
        <v>324989.33125920413</v>
      </c>
      <c r="K76" s="12">
        <f t="shared" ca="1" si="38"/>
        <v>309532.93906825053</v>
      </c>
      <c r="L76" s="12">
        <f t="shared" ca="1" si="39"/>
        <v>317775.52764884999</v>
      </c>
      <c r="M76" s="12">
        <f t="shared" ca="1" si="40"/>
        <v>372758.0661495789</v>
      </c>
      <c r="N76" s="12">
        <f t="shared" ca="1" si="41"/>
        <v>373952.47185919195</v>
      </c>
      <c r="O76" s="12">
        <f t="shared" ca="1" si="42"/>
        <v>357123.09734509321</v>
      </c>
      <c r="P76" s="12">
        <f t="shared" ca="1" si="43"/>
        <v>510261.38835523505</v>
      </c>
      <c r="Q76" s="12">
        <f t="shared" ca="1" si="44"/>
        <v>591507.61144331563</v>
      </c>
      <c r="R76" s="12">
        <f t="shared" ca="1" si="45"/>
        <v>556449.34901171294</v>
      </c>
      <c r="S76" s="12">
        <f t="shared" ca="1" si="46"/>
        <v>563719.0503390911</v>
      </c>
      <c r="T76" s="12">
        <f t="shared" ca="1" si="47"/>
        <v>569583.54323723423</v>
      </c>
      <c r="U76" s="12">
        <f t="shared" ca="1" si="48"/>
        <v>471356.14589822758</v>
      </c>
      <c r="V76" s="12">
        <f t="shared" ca="1" si="49"/>
        <v>487484.36233182973</v>
      </c>
      <c r="W76" s="12">
        <f t="shared" ca="1" si="50"/>
        <v>577758.40593604685</v>
      </c>
      <c r="X76" s="12">
        <f t="shared" ca="1" si="51"/>
        <v>632957.78094136529</v>
      </c>
      <c r="Y76" s="12">
        <f t="shared" ca="1" si="52"/>
        <v>634247.52814146504</v>
      </c>
      <c r="Z76" s="12">
        <f t="shared" ca="1" si="53"/>
        <v>697989.18618070346</v>
      </c>
      <c r="AA76" s="12">
        <f t="shared" ca="1" si="54"/>
        <v>807116.10315292387</v>
      </c>
      <c r="AB76" s="12">
        <f t="shared" ca="1" si="55"/>
        <v>950201.08933626581</v>
      </c>
      <c r="AC76" s="12">
        <f t="shared" ca="1" si="56"/>
        <v>1023588.864639368</v>
      </c>
      <c r="AD76" s="12">
        <f t="shared" ca="1" si="57"/>
        <v>1228020.3710781839</v>
      </c>
      <c r="AE76" s="12">
        <f t="shared" ca="1" si="58"/>
        <v>1270901.6065047784</v>
      </c>
      <c r="AF76" s="12">
        <f t="shared" ca="1" si="59"/>
        <v>1394860.2279968555</v>
      </c>
      <c r="AG76" s="12">
        <f t="shared" ca="1" si="60"/>
        <v>1432143.1705212742</v>
      </c>
      <c r="AH76" s="12">
        <f t="shared" ca="1" si="61"/>
        <v>1432143.1705212742</v>
      </c>
    </row>
    <row r="77" spans="2:34" x14ac:dyDescent="0.25">
      <c r="B77" s="6">
        <v>61</v>
      </c>
      <c r="D77" s="12">
        <f t="shared" ca="1" si="31"/>
        <v>205789.33375105719</v>
      </c>
      <c r="E77" s="12">
        <f t="shared" ca="1" si="32"/>
        <v>223291.26207740966</v>
      </c>
      <c r="F77" s="12">
        <f t="shared" ca="1" si="33"/>
        <v>267908.90492397983</v>
      </c>
      <c r="G77" s="12">
        <f t="shared" ca="1" si="34"/>
        <v>307939.23016455432</v>
      </c>
      <c r="H77" s="12">
        <f t="shared" ca="1" si="35"/>
        <v>385165.75938907854</v>
      </c>
      <c r="I77" s="12">
        <f t="shared" ca="1" si="36"/>
        <v>429132.74902910623</v>
      </c>
      <c r="J77" s="12">
        <f t="shared" ca="1" si="37"/>
        <v>583116.75876774476</v>
      </c>
      <c r="K77" s="12">
        <f t="shared" ca="1" si="38"/>
        <v>646466.43010988238</v>
      </c>
      <c r="L77" s="12">
        <f t="shared" ca="1" si="39"/>
        <v>751857.94999674626</v>
      </c>
      <c r="M77" s="12">
        <f t="shared" ca="1" si="40"/>
        <v>742971.62967453385</v>
      </c>
      <c r="N77" s="12">
        <f t="shared" ca="1" si="41"/>
        <v>768931.24619680515</v>
      </c>
      <c r="O77" s="12">
        <f t="shared" ca="1" si="42"/>
        <v>819583.07174115744</v>
      </c>
      <c r="P77" s="12">
        <f t="shared" ca="1" si="43"/>
        <v>994954.69911589241</v>
      </c>
      <c r="Q77" s="12">
        <f t="shared" ca="1" si="44"/>
        <v>1056778.6225962916</v>
      </c>
      <c r="R77" s="12">
        <f t="shared" ca="1" si="45"/>
        <v>1089843.5808605528</v>
      </c>
      <c r="S77" s="12">
        <f t="shared" ca="1" si="46"/>
        <v>1323467.3121106138</v>
      </c>
      <c r="T77" s="12">
        <f t="shared" ca="1" si="47"/>
        <v>1462068.1277434886</v>
      </c>
      <c r="U77" s="12">
        <f t="shared" ca="1" si="48"/>
        <v>1680791.4815538984</v>
      </c>
      <c r="V77" s="12">
        <f t="shared" ca="1" si="49"/>
        <v>1845591.1070854752</v>
      </c>
      <c r="W77" s="12">
        <f t="shared" ca="1" si="50"/>
        <v>1865574.9843646511</v>
      </c>
      <c r="X77" s="12">
        <f t="shared" ca="1" si="51"/>
        <v>2088936.2396049092</v>
      </c>
      <c r="Y77" s="12">
        <f t="shared" ca="1" si="52"/>
        <v>2375756.3917527939</v>
      </c>
      <c r="Z77" s="12">
        <f t="shared" ca="1" si="53"/>
        <v>2768688.9361238</v>
      </c>
      <c r="AA77" s="12">
        <f t="shared" ca="1" si="54"/>
        <v>2394766.4848791952</v>
      </c>
      <c r="AB77" s="12">
        <f t="shared" ca="1" si="55"/>
        <v>2667171.2492418778</v>
      </c>
      <c r="AC77" s="12">
        <f t="shared" ca="1" si="56"/>
        <v>2437385.0236343276</v>
      </c>
      <c r="AD77" s="12">
        <f t="shared" ca="1" si="57"/>
        <v>2659797.3022801122</v>
      </c>
      <c r="AE77" s="12">
        <f t="shared" ca="1" si="58"/>
        <v>2879618.2607887313</v>
      </c>
      <c r="AF77" s="12">
        <f t="shared" ca="1" si="59"/>
        <v>2793500.0812918032</v>
      </c>
      <c r="AG77" s="12">
        <f t="shared" ca="1" si="60"/>
        <v>3476890.2737633577</v>
      </c>
      <c r="AH77" s="12">
        <f t="shared" ca="1" si="61"/>
        <v>3476890.2737633577</v>
      </c>
    </row>
    <row r="78" spans="2:34" x14ac:dyDescent="0.25">
      <c r="B78" s="6">
        <v>62</v>
      </c>
      <c r="D78" s="12">
        <f t="shared" ca="1" si="31"/>
        <v>197191.26070856035</v>
      </c>
      <c r="E78" s="12">
        <f t="shared" ca="1" si="32"/>
        <v>235183.7673167669</v>
      </c>
      <c r="F78" s="12">
        <f t="shared" ca="1" si="33"/>
        <v>328897.32012043631</v>
      </c>
      <c r="G78" s="12">
        <f t="shared" ca="1" si="34"/>
        <v>344465.88341552921</v>
      </c>
      <c r="H78" s="12">
        <f t="shared" ca="1" si="35"/>
        <v>423253.61895413807</v>
      </c>
      <c r="I78" s="12">
        <f t="shared" ca="1" si="36"/>
        <v>384568.19430639647</v>
      </c>
      <c r="J78" s="12">
        <f t="shared" ca="1" si="37"/>
        <v>419089.28885391192</v>
      </c>
      <c r="K78" s="12">
        <f t="shared" ca="1" si="38"/>
        <v>475952.13154671068</v>
      </c>
      <c r="L78" s="12">
        <f t="shared" ca="1" si="39"/>
        <v>488545.31115485111</v>
      </c>
      <c r="M78" s="12">
        <f t="shared" ca="1" si="40"/>
        <v>493926.81317839067</v>
      </c>
      <c r="N78" s="12">
        <f t="shared" ca="1" si="41"/>
        <v>576326.54430876207</v>
      </c>
      <c r="O78" s="12">
        <f t="shared" ca="1" si="42"/>
        <v>764848.88028354803</v>
      </c>
      <c r="P78" s="12">
        <f t="shared" ca="1" si="43"/>
        <v>825627.61445080268</v>
      </c>
      <c r="Q78" s="12">
        <f t="shared" ca="1" si="44"/>
        <v>761122.41823210649</v>
      </c>
      <c r="R78" s="12">
        <f t="shared" ca="1" si="45"/>
        <v>1063853.2523034522</v>
      </c>
      <c r="S78" s="12">
        <f t="shared" ca="1" si="46"/>
        <v>1135580.6365862454</v>
      </c>
      <c r="T78" s="12">
        <f t="shared" ca="1" si="47"/>
        <v>1143609.1871732995</v>
      </c>
      <c r="U78" s="12">
        <f t="shared" ca="1" si="48"/>
        <v>1366878.2297933213</v>
      </c>
      <c r="V78" s="12">
        <f t="shared" ca="1" si="49"/>
        <v>1424342.1361725971</v>
      </c>
      <c r="W78" s="12">
        <f t="shared" ca="1" si="50"/>
        <v>1849504.3930181661</v>
      </c>
      <c r="X78" s="12">
        <f t="shared" ca="1" si="51"/>
        <v>1543535.2250614716</v>
      </c>
      <c r="Y78" s="12">
        <f t="shared" ca="1" si="52"/>
        <v>1552409.3660104279</v>
      </c>
      <c r="Z78" s="12">
        <f t="shared" ca="1" si="53"/>
        <v>1223301.0122595634</v>
      </c>
      <c r="AA78" s="12">
        <f t="shared" ca="1" si="54"/>
        <v>1391941.2652068683</v>
      </c>
      <c r="AB78" s="12">
        <f t="shared" ca="1" si="55"/>
        <v>1564559.8409776087</v>
      </c>
      <c r="AC78" s="12">
        <f t="shared" ca="1" si="56"/>
        <v>1650554.2247229714</v>
      </c>
      <c r="AD78" s="12">
        <f t="shared" ca="1" si="57"/>
        <v>2095017.8120151949</v>
      </c>
      <c r="AE78" s="12">
        <f t="shared" ca="1" si="58"/>
        <v>2523266.2688379409</v>
      </c>
      <c r="AF78" s="12">
        <f t="shared" ca="1" si="59"/>
        <v>2719628.8992449776</v>
      </c>
      <c r="AG78" s="12">
        <f t="shared" ca="1" si="60"/>
        <v>3347252.3448339207</v>
      </c>
      <c r="AH78" s="12">
        <f t="shared" ca="1" si="61"/>
        <v>3347252.3448339207</v>
      </c>
    </row>
    <row r="79" spans="2:34" x14ac:dyDescent="0.25">
      <c r="B79" s="6">
        <v>63</v>
      </c>
      <c r="D79" s="12">
        <f t="shared" ca="1" si="31"/>
        <v>171378.27094151688</v>
      </c>
      <c r="E79" s="12">
        <f t="shared" ca="1" si="32"/>
        <v>190437.09772966796</v>
      </c>
      <c r="F79" s="12">
        <f t="shared" ca="1" si="33"/>
        <v>226039.32104759791</v>
      </c>
      <c r="G79" s="12">
        <f t="shared" ca="1" si="34"/>
        <v>266871.75784907601</v>
      </c>
      <c r="H79" s="12">
        <f t="shared" ca="1" si="35"/>
        <v>362394.06520822691</v>
      </c>
      <c r="I79" s="12">
        <f t="shared" ca="1" si="36"/>
        <v>373417.17477750173</v>
      </c>
      <c r="J79" s="12">
        <f t="shared" ca="1" si="37"/>
        <v>407775.74849553488</v>
      </c>
      <c r="K79" s="12">
        <f t="shared" ca="1" si="38"/>
        <v>352417.4854299415</v>
      </c>
      <c r="L79" s="12">
        <f t="shared" ca="1" si="39"/>
        <v>399703.65634884045</v>
      </c>
      <c r="M79" s="12">
        <f t="shared" ca="1" si="40"/>
        <v>430249.87013063882</v>
      </c>
      <c r="N79" s="12">
        <f t="shared" ca="1" si="41"/>
        <v>510180.58641262085</v>
      </c>
      <c r="O79" s="12">
        <f t="shared" ca="1" si="42"/>
        <v>631643.20209660113</v>
      </c>
      <c r="P79" s="12">
        <f t="shared" ca="1" si="43"/>
        <v>838501.33067123778</v>
      </c>
      <c r="Q79" s="12">
        <f t="shared" ca="1" si="44"/>
        <v>853922.69534926885</v>
      </c>
      <c r="R79" s="12">
        <f t="shared" ca="1" si="45"/>
        <v>849043.50645795325</v>
      </c>
      <c r="S79" s="12">
        <f t="shared" ca="1" si="46"/>
        <v>993995.03404023161</v>
      </c>
      <c r="T79" s="12">
        <f t="shared" ca="1" si="47"/>
        <v>1258407.6983680956</v>
      </c>
      <c r="U79" s="12">
        <f t="shared" ca="1" si="48"/>
        <v>1365263.1725824913</v>
      </c>
      <c r="V79" s="12">
        <f t="shared" ca="1" si="49"/>
        <v>1488568.7101886971</v>
      </c>
      <c r="W79" s="12">
        <f t="shared" ca="1" si="50"/>
        <v>1650327.3887473075</v>
      </c>
      <c r="X79" s="12">
        <f t="shared" ca="1" si="51"/>
        <v>1847637.2006410011</v>
      </c>
      <c r="Y79" s="12">
        <f t="shared" ca="1" si="52"/>
        <v>1479659.6663412773</v>
      </c>
      <c r="Z79" s="12">
        <f t="shared" ca="1" si="53"/>
        <v>1771070.3722338446</v>
      </c>
      <c r="AA79" s="12">
        <f t="shared" ca="1" si="54"/>
        <v>1955819.0281931069</v>
      </c>
      <c r="AB79" s="12">
        <f t="shared" ca="1" si="55"/>
        <v>2119832.0048213834</v>
      </c>
      <c r="AC79" s="12">
        <f t="shared" ca="1" si="56"/>
        <v>2054975.0742707297</v>
      </c>
      <c r="AD79" s="12">
        <f t="shared" ca="1" si="57"/>
        <v>2119547.4810945932</v>
      </c>
      <c r="AE79" s="12">
        <f t="shared" ca="1" si="58"/>
        <v>1939780.094670106</v>
      </c>
      <c r="AF79" s="12">
        <f t="shared" ca="1" si="59"/>
        <v>2094405.1942674539</v>
      </c>
      <c r="AG79" s="12">
        <f t="shared" ca="1" si="60"/>
        <v>2282098.3154142457</v>
      </c>
      <c r="AH79" s="12">
        <f t="shared" ca="1" si="61"/>
        <v>2282098.3154142457</v>
      </c>
    </row>
    <row r="80" spans="2:34" x14ac:dyDescent="0.25">
      <c r="B80" s="6">
        <v>64</v>
      </c>
      <c r="D80" s="12">
        <f t="shared" ca="1" si="31"/>
        <v>196935.17805172736</v>
      </c>
      <c r="E80" s="12">
        <f t="shared" ca="1" si="32"/>
        <v>216781.90688381699</v>
      </c>
      <c r="F80" s="12">
        <f t="shared" ca="1" si="33"/>
        <v>253107.81585049228</v>
      </c>
      <c r="G80" s="12">
        <f t="shared" ca="1" si="34"/>
        <v>288204.93291195953</v>
      </c>
      <c r="H80" s="12">
        <f t="shared" ca="1" si="35"/>
        <v>379740.87436664035</v>
      </c>
      <c r="I80" s="12">
        <f t="shared" ca="1" si="36"/>
        <v>429438.03379370505</v>
      </c>
      <c r="J80" s="12">
        <f t="shared" ca="1" si="37"/>
        <v>494528.21887571638</v>
      </c>
      <c r="K80" s="12">
        <f t="shared" ca="1" si="38"/>
        <v>549751.32349826267</v>
      </c>
      <c r="L80" s="12">
        <f t="shared" ca="1" si="39"/>
        <v>608978.94886197685</v>
      </c>
      <c r="M80" s="12">
        <f t="shared" ca="1" si="40"/>
        <v>638308.83007524512</v>
      </c>
      <c r="N80" s="12">
        <f t="shared" ca="1" si="41"/>
        <v>796562.77275676955</v>
      </c>
      <c r="O80" s="12">
        <f t="shared" ca="1" si="42"/>
        <v>798109.04449424602</v>
      </c>
      <c r="P80" s="12">
        <f t="shared" ca="1" si="43"/>
        <v>1074822.2851245841</v>
      </c>
      <c r="Q80" s="12">
        <f t="shared" ca="1" si="44"/>
        <v>1195598.9640766061</v>
      </c>
      <c r="R80" s="12">
        <f t="shared" ca="1" si="45"/>
        <v>1177381.4348510387</v>
      </c>
      <c r="S80" s="12">
        <f t="shared" ca="1" si="46"/>
        <v>1246532.3822045999</v>
      </c>
      <c r="T80" s="12">
        <f t="shared" ca="1" si="47"/>
        <v>1387024.0656894131</v>
      </c>
      <c r="U80" s="12">
        <f t="shared" ca="1" si="48"/>
        <v>1483186.1844374074</v>
      </c>
      <c r="V80" s="12">
        <f t="shared" ca="1" si="49"/>
        <v>1968196.9638599837</v>
      </c>
      <c r="W80" s="12">
        <f t="shared" ca="1" si="50"/>
        <v>2576103.4177412647</v>
      </c>
      <c r="X80" s="12">
        <f t="shared" ca="1" si="51"/>
        <v>2540480.4023088091</v>
      </c>
      <c r="Y80" s="12">
        <f t="shared" ca="1" si="52"/>
        <v>2630981.9020778323</v>
      </c>
      <c r="Z80" s="12">
        <f t="shared" ca="1" si="53"/>
        <v>2307055.1888374621</v>
      </c>
      <c r="AA80" s="12">
        <f t="shared" ca="1" si="54"/>
        <v>2626218.7472744095</v>
      </c>
      <c r="AB80" s="12">
        <f t="shared" ca="1" si="55"/>
        <v>2752109.8247453659</v>
      </c>
      <c r="AC80" s="12">
        <f t="shared" ca="1" si="56"/>
        <v>3363967.1893547084</v>
      </c>
      <c r="AD80" s="12">
        <f t="shared" ca="1" si="57"/>
        <v>3970562.6517366292</v>
      </c>
      <c r="AE80" s="12">
        <f t="shared" ca="1" si="58"/>
        <v>3446032.3860812797</v>
      </c>
      <c r="AF80" s="12">
        <f t="shared" ca="1" si="59"/>
        <v>3611682.001784021</v>
      </c>
      <c r="AG80" s="12">
        <f t="shared" ca="1" si="60"/>
        <v>4151395.9190827329</v>
      </c>
      <c r="AH80" s="12">
        <f t="shared" ca="1" si="61"/>
        <v>4151395.9190827329</v>
      </c>
    </row>
    <row r="81" spans="2:34" x14ac:dyDescent="0.25">
      <c r="B81" s="6">
        <v>65</v>
      </c>
      <c r="D81" s="12">
        <f t="shared" ref="D81:D112" ca="1" si="62">$C$5*(1+NORMINV(RAND(),$C$8,$C$9))+$C$6</f>
        <v>222837.26234079921</v>
      </c>
      <c r="E81" s="12">
        <f t="shared" ref="E81:E112" ca="1" si="63">D81*(1+NORMINV(RAND(),$C$8,$C$9))+$C$6*(1+$C$7)^1</f>
        <v>267118.17784147046</v>
      </c>
      <c r="F81" s="12">
        <f t="shared" ref="F81:F112" ca="1" si="64">E81*(1+NORMINV(RAND(),$C$8,$C$9))+$C$6*(1+$C$7)^2</f>
        <v>273000.7218180995</v>
      </c>
      <c r="G81" s="12">
        <f t="shared" ref="G81:G112" ca="1" si="65">F81*(1+NORMINV(RAND(),$C$8,$C$9))+$C$6*(1+$C$7)^3</f>
        <v>283754.0348227552</v>
      </c>
      <c r="H81" s="12">
        <f t="shared" ref="H81:H112" ca="1" si="66">G81*(1+NORMINV(RAND(),$C$8,$C$9))+$C$6*(1+$C$7)^4</f>
        <v>295685.82883152657</v>
      </c>
      <c r="I81" s="12">
        <f t="shared" ref="I81:I112" ca="1" si="67">H81*(1+NORMINV(RAND(),$C$8,$C$9))+$C$6*(1+$C$7)^5</f>
        <v>309069.46001896547</v>
      </c>
      <c r="J81" s="12">
        <f t="shared" ref="J81:J112" ca="1" si="68">I81*(1+NORMINV(RAND(),$C$8,$C$9))+$C$6*(1+$C$7)^6</f>
        <v>373041.36793860176</v>
      </c>
      <c r="K81" s="12">
        <f t="shared" ref="K81:K112" ca="1" si="69">J81*(1+NORMINV(RAND(),$C$8,$C$9))+$C$6*(1+$C$7)^7</f>
        <v>465708.21481117222</v>
      </c>
      <c r="L81" s="12">
        <f t="shared" ref="L81:L112" ca="1" si="70">K81*(1+NORMINV(RAND(),$C$8,$C$9))+$C$6*(1+$C$7)^8</f>
        <v>490563.49132738495</v>
      </c>
      <c r="M81" s="12">
        <f t="shared" ref="M81:M112" ca="1" si="71">L81*(1+NORMINV(RAND(),$C$8,$C$9))+$C$6*(1+$C$7)^9</f>
        <v>570640.19971381885</v>
      </c>
      <c r="N81" s="12">
        <f t="shared" ref="N81:N112" ca="1" si="72">M81*(1+NORMINV(RAND(),$C$8,$C$9))+$C$6*(1+$C$7)^10</f>
        <v>497528.96458338836</v>
      </c>
      <c r="O81" s="12">
        <f t="shared" ref="O81:O112" ca="1" si="73">N81*(1+NORMINV(RAND(),$C$8,$C$9))+$C$6*(1+$C$7)^11</f>
        <v>643737.14428615361</v>
      </c>
      <c r="P81" s="12">
        <f t="shared" ref="P81:P112" ca="1" si="74">O81*(1+NORMINV(RAND(),$C$8,$C$9))+$C$6*(1+$C$7)^12</f>
        <v>696304.22338850657</v>
      </c>
      <c r="Q81" s="12">
        <f t="shared" ref="Q81:Q112" ca="1" si="75">P81*(1+NORMINV(RAND(),$C$8,$C$9))+$C$6*(1+$C$7)^13</f>
        <v>823253.70357667329</v>
      </c>
      <c r="R81" s="12">
        <f t="shared" ref="R81:R112" ca="1" si="76">Q81*(1+NORMINV(RAND(),$C$8,$C$9))+$C$6*(1+$C$7)^14</f>
        <v>961384.59179957188</v>
      </c>
      <c r="S81" s="12">
        <f t="shared" ref="S81:S112" ca="1" si="77">R81*(1+NORMINV(RAND(),$C$8,$C$9))+$C$6*(1+$C$7)^15</f>
        <v>1124194.7639189567</v>
      </c>
      <c r="T81" s="12">
        <f t="shared" ref="T81:T112" ca="1" si="78">S81*(1+NORMINV(RAND(),$C$8,$C$9))+$C$6*(1+$C$7)^16</f>
        <v>1113604.3393728973</v>
      </c>
      <c r="U81" s="12">
        <f t="shared" ref="U81:U112" ca="1" si="79">T81*(1+NORMINV(RAND(),$C$8,$C$9))+$C$6*(1+$C$7)^17</f>
        <v>1230623.5994684245</v>
      </c>
      <c r="V81" s="12">
        <f t="shared" ref="V81:V112" ca="1" si="80">U81*(1+NORMINV(RAND(),$C$8,$C$9))+$C$6*(1+$C$7)^18</f>
        <v>1262800.8739285572</v>
      </c>
      <c r="W81" s="12">
        <f t="shared" ref="W81:W112" ca="1" si="81">V81*(1+NORMINV(RAND(),$C$8,$C$9))+$C$6*(1+$C$7)^19</f>
        <v>1223570.1795358814</v>
      </c>
      <c r="X81" s="12">
        <f t="shared" ref="X81:X112" ca="1" si="82">W81*(1+NORMINV(RAND(),$C$8,$C$9))+$C$6*(1+$C$7)^20</f>
        <v>1313932.755666951</v>
      </c>
      <c r="Y81" s="12">
        <f t="shared" ref="Y81:Y112" ca="1" si="83">X81*(1+NORMINV(RAND(),$C$8,$C$9))+$C$6*(1+$C$7)^21</f>
        <v>1402324.8715652984</v>
      </c>
      <c r="Z81" s="12">
        <f t="shared" ref="Z81:Z112" ca="1" si="84">Y81*(1+NORMINV(RAND(),$C$8,$C$9))+$C$6*(1+$C$7)^22</f>
        <v>1693967.6290237862</v>
      </c>
      <c r="AA81" s="12">
        <f t="shared" ref="AA81:AA112" ca="1" si="85">Z81*(1+NORMINV(RAND(),$C$8,$C$9))+$C$6*(1+$C$7)^23</f>
        <v>2211887.236849261</v>
      </c>
      <c r="AB81" s="12">
        <f t="shared" ref="AB81:AB112" ca="1" si="86">AA81*(1+NORMINV(RAND(),$C$8,$C$9))+$C$6*(1+$C$7)^24</f>
        <v>2429361.4121455853</v>
      </c>
      <c r="AC81" s="12">
        <f t="shared" ref="AC81:AC112" ca="1" si="87">AB81*(1+NORMINV(RAND(),$C$8,$C$9))+$C$6*(1+$C$7)^25</f>
        <v>2415321.6258572121</v>
      </c>
      <c r="AD81" s="12">
        <f t="shared" ref="AD81:AD112" ca="1" si="88">AC81*(1+NORMINV(RAND(),$C$8,$C$9))+$C$6*(1+$C$7)^26</f>
        <v>2354498.2807888305</v>
      </c>
      <c r="AE81" s="12">
        <f t="shared" ref="AE81:AE112" ca="1" si="89">AD81*(1+NORMINV(RAND(),$C$8,$C$9))+$C$6*(1+$C$7)^27</f>
        <v>3055022.6979729193</v>
      </c>
      <c r="AF81" s="12">
        <f t="shared" ref="AF81:AF112" ca="1" si="90">AE81*(1+NORMINV(RAND(),$C$8,$C$9))+$C$6*(1+$C$7)^28</f>
        <v>2876046.6239019651</v>
      </c>
      <c r="AG81" s="12">
        <f t="shared" ref="AG81:AG112" ca="1" si="91">AF81*(1+NORMINV(RAND(),$C$8,$C$9))+$C$6*(1+$C$7)^29</f>
        <v>2935566.2279237998</v>
      </c>
      <c r="AH81" s="12">
        <f t="shared" ref="AH81:AH112" ca="1" si="92">AG81</f>
        <v>2935566.2279237998</v>
      </c>
    </row>
    <row r="82" spans="2:34" x14ac:dyDescent="0.25">
      <c r="B82" s="6">
        <v>66</v>
      </c>
      <c r="D82" s="12">
        <f t="shared" ca="1" si="62"/>
        <v>185179.78334238403</v>
      </c>
      <c r="E82" s="12">
        <f t="shared" ca="1" si="63"/>
        <v>234530.07449364354</v>
      </c>
      <c r="F82" s="12">
        <f t="shared" ca="1" si="64"/>
        <v>288517.15716130118</v>
      </c>
      <c r="G82" s="12">
        <f t="shared" ca="1" si="65"/>
        <v>386370.19574820885</v>
      </c>
      <c r="H82" s="12">
        <f t="shared" ca="1" si="66"/>
        <v>349119.81295215065</v>
      </c>
      <c r="I82" s="12">
        <f t="shared" ca="1" si="67"/>
        <v>394599.11250652978</v>
      </c>
      <c r="J82" s="12">
        <f t="shared" ca="1" si="68"/>
        <v>437059.12958123797</v>
      </c>
      <c r="K82" s="12">
        <f t="shared" ca="1" si="69"/>
        <v>485024.57735450601</v>
      </c>
      <c r="L82" s="12">
        <f t="shared" ca="1" si="70"/>
        <v>568210.57165101706</v>
      </c>
      <c r="M82" s="12">
        <f t="shared" ca="1" si="71"/>
        <v>531906.22797929938</v>
      </c>
      <c r="N82" s="12">
        <f t="shared" ca="1" si="72"/>
        <v>561208.99981269718</v>
      </c>
      <c r="O82" s="12">
        <f t="shared" ca="1" si="73"/>
        <v>595377.59862976207</v>
      </c>
      <c r="P82" s="12">
        <f t="shared" ca="1" si="74"/>
        <v>554441.5247646668</v>
      </c>
      <c r="Q82" s="12">
        <f t="shared" ca="1" si="75"/>
        <v>643078.85018684459</v>
      </c>
      <c r="R82" s="12">
        <f t="shared" ca="1" si="76"/>
        <v>765569.1154303723</v>
      </c>
      <c r="S82" s="12">
        <f t="shared" ca="1" si="77"/>
        <v>885760.52439069375</v>
      </c>
      <c r="T82" s="12">
        <f t="shared" ca="1" si="78"/>
        <v>1024399.8883676151</v>
      </c>
      <c r="U82" s="12">
        <f t="shared" ca="1" si="79"/>
        <v>1162208.9318393269</v>
      </c>
      <c r="V82" s="12">
        <f t="shared" ca="1" si="80"/>
        <v>957980.3717146432</v>
      </c>
      <c r="W82" s="12">
        <f t="shared" ca="1" si="81"/>
        <v>940339.79262109974</v>
      </c>
      <c r="X82" s="12">
        <f t="shared" ca="1" si="82"/>
        <v>940410.81161485915</v>
      </c>
      <c r="Y82" s="12">
        <f t="shared" ca="1" si="83"/>
        <v>748969.90552493255</v>
      </c>
      <c r="Z82" s="12">
        <f t="shared" ca="1" si="84"/>
        <v>952684.52465823549</v>
      </c>
      <c r="AA82" s="12">
        <f t="shared" ca="1" si="85"/>
        <v>1053936.3077627961</v>
      </c>
      <c r="AB82" s="12">
        <f t="shared" ca="1" si="86"/>
        <v>1184461.7737711302</v>
      </c>
      <c r="AC82" s="12">
        <f t="shared" ca="1" si="87"/>
        <v>1276884.6358443564</v>
      </c>
      <c r="AD82" s="12">
        <f t="shared" ca="1" si="88"/>
        <v>1572312.9393973364</v>
      </c>
      <c r="AE82" s="12">
        <f t="shared" ca="1" si="89"/>
        <v>1520891.8992931566</v>
      </c>
      <c r="AF82" s="12">
        <f t="shared" ca="1" si="90"/>
        <v>1509743.416136248</v>
      </c>
      <c r="AG82" s="12">
        <f t="shared" ca="1" si="91"/>
        <v>1326939.0871041841</v>
      </c>
      <c r="AH82" s="12">
        <f t="shared" ca="1" si="92"/>
        <v>1326939.0871041841</v>
      </c>
    </row>
    <row r="83" spans="2:34" x14ac:dyDescent="0.25">
      <c r="B83" s="6">
        <v>67</v>
      </c>
      <c r="D83" s="12">
        <f t="shared" ca="1" si="62"/>
        <v>195538.69630189525</v>
      </c>
      <c r="E83" s="12">
        <f t="shared" ca="1" si="63"/>
        <v>250939.12114305265</v>
      </c>
      <c r="F83" s="12">
        <f t="shared" ca="1" si="64"/>
        <v>226896.15776108849</v>
      </c>
      <c r="G83" s="12">
        <f t="shared" ca="1" si="65"/>
        <v>264461.24322468566</v>
      </c>
      <c r="H83" s="12">
        <f t="shared" ca="1" si="66"/>
        <v>281192.32604602986</v>
      </c>
      <c r="I83" s="12">
        <f t="shared" ca="1" si="67"/>
        <v>324818.16852507886</v>
      </c>
      <c r="J83" s="12">
        <f t="shared" ca="1" si="68"/>
        <v>377157.00721098902</v>
      </c>
      <c r="K83" s="12">
        <f t="shared" ca="1" si="69"/>
        <v>411527.05368267396</v>
      </c>
      <c r="L83" s="12">
        <f t="shared" ca="1" si="70"/>
        <v>468314.64785553381</v>
      </c>
      <c r="M83" s="12">
        <f t="shared" ca="1" si="71"/>
        <v>501817.09273580165</v>
      </c>
      <c r="N83" s="12">
        <f t="shared" ca="1" si="72"/>
        <v>542176.02185590344</v>
      </c>
      <c r="O83" s="12">
        <f t="shared" ca="1" si="73"/>
        <v>621461.65688629809</v>
      </c>
      <c r="P83" s="12">
        <f t="shared" ca="1" si="74"/>
        <v>722350.43529708113</v>
      </c>
      <c r="Q83" s="12">
        <f t="shared" ca="1" si="75"/>
        <v>777226.80469027872</v>
      </c>
      <c r="R83" s="12">
        <f t="shared" ca="1" si="76"/>
        <v>808080.70355506428</v>
      </c>
      <c r="S83" s="12">
        <f t="shared" ca="1" si="77"/>
        <v>743092.56332645414</v>
      </c>
      <c r="T83" s="12">
        <f t="shared" ca="1" si="78"/>
        <v>735197.70443406014</v>
      </c>
      <c r="U83" s="12">
        <f t="shared" ca="1" si="79"/>
        <v>687304.01623487065</v>
      </c>
      <c r="V83" s="12">
        <f t="shared" ca="1" si="80"/>
        <v>551011.71566154622</v>
      </c>
      <c r="W83" s="12">
        <f t="shared" ca="1" si="81"/>
        <v>635120.78018720762</v>
      </c>
      <c r="X83" s="12">
        <f t="shared" ca="1" si="82"/>
        <v>805920.29747322318</v>
      </c>
      <c r="Y83" s="12">
        <f t="shared" ca="1" si="83"/>
        <v>920140.66671069642</v>
      </c>
      <c r="Z83" s="12">
        <f t="shared" ca="1" si="84"/>
        <v>1049612.9293331979</v>
      </c>
      <c r="AA83" s="12">
        <f t="shared" ca="1" si="85"/>
        <v>1158141.5421557748</v>
      </c>
      <c r="AB83" s="12">
        <f t="shared" ca="1" si="86"/>
        <v>1354684.0900781832</v>
      </c>
      <c r="AC83" s="12">
        <f t="shared" ca="1" si="87"/>
        <v>1392721.1971810241</v>
      </c>
      <c r="AD83" s="12">
        <f t="shared" ca="1" si="88"/>
        <v>1707880.4540982491</v>
      </c>
      <c r="AE83" s="12">
        <f t="shared" ca="1" si="89"/>
        <v>1551152.9730218069</v>
      </c>
      <c r="AF83" s="12">
        <f t="shared" ca="1" si="90"/>
        <v>1458696.9606194051</v>
      </c>
      <c r="AG83" s="12">
        <f t="shared" ca="1" si="91"/>
        <v>1674093.6863530183</v>
      </c>
      <c r="AH83" s="12">
        <f t="shared" ca="1" si="92"/>
        <v>1674093.6863530183</v>
      </c>
    </row>
    <row r="84" spans="2:34" x14ac:dyDescent="0.25">
      <c r="B84" s="6">
        <v>68</v>
      </c>
      <c r="D84" s="12">
        <f t="shared" ca="1" si="62"/>
        <v>167356.33927289597</v>
      </c>
      <c r="E84" s="12">
        <f t="shared" ca="1" si="63"/>
        <v>189805.23538738227</v>
      </c>
      <c r="F84" s="12">
        <f t="shared" ca="1" si="64"/>
        <v>224621.17392907816</v>
      </c>
      <c r="G84" s="12">
        <f t="shared" ca="1" si="65"/>
        <v>261827.17134190456</v>
      </c>
      <c r="H84" s="12">
        <f t="shared" ca="1" si="66"/>
        <v>317016.86223970406</v>
      </c>
      <c r="I84" s="12">
        <f t="shared" ca="1" si="67"/>
        <v>434305.08880447899</v>
      </c>
      <c r="J84" s="12">
        <f t="shared" ca="1" si="68"/>
        <v>545985.60541320173</v>
      </c>
      <c r="K84" s="12">
        <f t="shared" ca="1" si="69"/>
        <v>535042.55232769274</v>
      </c>
      <c r="L84" s="12">
        <f t="shared" ca="1" si="70"/>
        <v>575667.09936769737</v>
      </c>
      <c r="M84" s="12">
        <f t="shared" ca="1" si="71"/>
        <v>606318.01416633045</v>
      </c>
      <c r="N84" s="12">
        <f t="shared" ca="1" si="72"/>
        <v>495626.64613508369</v>
      </c>
      <c r="O84" s="12">
        <f t="shared" ca="1" si="73"/>
        <v>639601.53867320076</v>
      </c>
      <c r="P84" s="12">
        <f t="shared" ca="1" si="74"/>
        <v>672102.49686295434</v>
      </c>
      <c r="Q84" s="12">
        <f t="shared" ca="1" si="75"/>
        <v>627849.58931540814</v>
      </c>
      <c r="R84" s="12">
        <f t="shared" ca="1" si="76"/>
        <v>641779.81369388534</v>
      </c>
      <c r="S84" s="12">
        <f t="shared" ca="1" si="77"/>
        <v>837661.5104349053</v>
      </c>
      <c r="T84" s="12">
        <f t="shared" ca="1" si="78"/>
        <v>957072.47136505099</v>
      </c>
      <c r="U84" s="12">
        <f t="shared" ca="1" si="79"/>
        <v>1051245.2743923455</v>
      </c>
      <c r="V84" s="12">
        <f t="shared" ca="1" si="80"/>
        <v>1018530.7869999963</v>
      </c>
      <c r="W84" s="12">
        <f t="shared" ca="1" si="81"/>
        <v>1111905.1097735441</v>
      </c>
      <c r="X84" s="12">
        <f t="shared" ca="1" si="82"/>
        <v>1161636.5939286556</v>
      </c>
      <c r="Y84" s="12">
        <f t="shared" ca="1" si="83"/>
        <v>1266257.4775400048</v>
      </c>
      <c r="Z84" s="12">
        <f t="shared" ca="1" si="84"/>
        <v>1480398.6661065542</v>
      </c>
      <c r="AA84" s="12">
        <f t="shared" ca="1" si="85"/>
        <v>1511469.8266322862</v>
      </c>
      <c r="AB84" s="12">
        <f t="shared" ca="1" si="86"/>
        <v>1898357.8790815196</v>
      </c>
      <c r="AC84" s="12">
        <f t="shared" ca="1" si="87"/>
        <v>1766848.2328861188</v>
      </c>
      <c r="AD84" s="12">
        <f t="shared" ca="1" si="88"/>
        <v>1584785.9229112689</v>
      </c>
      <c r="AE84" s="12">
        <f t="shared" ca="1" si="89"/>
        <v>1840531.0713508073</v>
      </c>
      <c r="AF84" s="12">
        <f t="shared" ca="1" si="90"/>
        <v>2048611.0096942976</v>
      </c>
      <c r="AG84" s="12">
        <f t="shared" ca="1" si="91"/>
        <v>2291092.5879542739</v>
      </c>
      <c r="AH84" s="12">
        <f t="shared" ca="1" si="92"/>
        <v>2291092.5879542739</v>
      </c>
    </row>
    <row r="85" spans="2:34" x14ac:dyDescent="0.25">
      <c r="B85" s="6">
        <v>69</v>
      </c>
      <c r="D85" s="12">
        <f t="shared" ca="1" si="62"/>
        <v>211796.14582857158</v>
      </c>
      <c r="E85" s="12">
        <f t="shared" ca="1" si="63"/>
        <v>218790.83612855506</v>
      </c>
      <c r="F85" s="12">
        <f t="shared" ca="1" si="64"/>
        <v>251293.27633007005</v>
      </c>
      <c r="G85" s="12">
        <f t="shared" ca="1" si="65"/>
        <v>267202.14671812498</v>
      </c>
      <c r="H85" s="12">
        <f t="shared" ca="1" si="66"/>
        <v>329652.27288592234</v>
      </c>
      <c r="I85" s="12">
        <f t="shared" ca="1" si="67"/>
        <v>426232.41658460628</v>
      </c>
      <c r="J85" s="12">
        <f t="shared" ca="1" si="68"/>
        <v>407660.99624321773</v>
      </c>
      <c r="K85" s="12">
        <f t="shared" ca="1" si="69"/>
        <v>477015.68211813283</v>
      </c>
      <c r="L85" s="12">
        <f t="shared" ca="1" si="70"/>
        <v>416046.26103129168</v>
      </c>
      <c r="M85" s="12">
        <f t="shared" ca="1" si="71"/>
        <v>568449.15655086446</v>
      </c>
      <c r="N85" s="12">
        <f t="shared" ca="1" si="72"/>
        <v>596736.11466012907</v>
      </c>
      <c r="O85" s="12">
        <f t="shared" ca="1" si="73"/>
        <v>738955.03904721118</v>
      </c>
      <c r="P85" s="12">
        <f t="shared" ca="1" si="74"/>
        <v>839153.07690991764</v>
      </c>
      <c r="Q85" s="12">
        <f t="shared" ca="1" si="75"/>
        <v>924848.14373830683</v>
      </c>
      <c r="R85" s="12">
        <f t="shared" ca="1" si="76"/>
        <v>1083742.6842565513</v>
      </c>
      <c r="S85" s="12">
        <f t="shared" ca="1" si="77"/>
        <v>956226.87335683662</v>
      </c>
      <c r="T85" s="12">
        <f t="shared" ca="1" si="78"/>
        <v>980279.68348142272</v>
      </c>
      <c r="U85" s="12">
        <f t="shared" ca="1" si="79"/>
        <v>1143120.1285412256</v>
      </c>
      <c r="V85" s="12">
        <f t="shared" ca="1" si="80"/>
        <v>1246363.1970121528</v>
      </c>
      <c r="W85" s="12">
        <f t="shared" ca="1" si="81"/>
        <v>1171483.8709474518</v>
      </c>
      <c r="X85" s="12">
        <f t="shared" ca="1" si="82"/>
        <v>1175649.6369711661</v>
      </c>
      <c r="Y85" s="12">
        <f t="shared" ca="1" si="83"/>
        <v>1171782.7771063009</v>
      </c>
      <c r="Z85" s="12">
        <f t="shared" ca="1" si="84"/>
        <v>1455181.8595459941</v>
      </c>
      <c r="AA85" s="12">
        <f t="shared" ca="1" si="85"/>
        <v>1657852.9236039957</v>
      </c>
      <c r="AB85" s="12">
        <f t="shared" ca="1" si="86"/>
        <v>2043273.546571723</v>
      </c>
      <c r="AC85" s="12">
        <f t="shared" ca="1" si="87"/>
        <v>2378440.3798056343</v>
      </c>
      <c r="AD85" s="12">
        <f t="shared" ca="1" si="88"/>
        <v>2528278.1219115215</v>
      </c>
      <c r="AE85" s="12">
        <f t="shared" ca="1" si="89"/>
        <v>2678386.6824956634</v>
      </c>
      <c r="AF85" s="12">
        <f t="shared" ca="1" si="90"/>
        <v>2631603.4958034432</v>
      </c>
      <c r="AG85" s="12">
        <f t="shared" ca="1" si="91"/>
        <v>3100774.8361906651</v>
      </c>
      <c r="AH85" s="12">
        <f t="shared" ca="1" si="92"/>
        <v>3100774.8361906651</v>
      </c>
    </row>
    <row r="86" spans="2:34" x14ac:dyDescent="0.25">
      <c r="B86" s="6">
        <v>70</v>
      </c>
      <c r="D86" s="12">
        <f t="shared" ca="1" si="62"/>
        <v>198217.0602465595</v>
      </c>
      <c r="E86" s="12">
        <f t="shared" ca="1" si="63"/>
        <v>243168.15809851006</v>
      </c>
      <c r="F86" s="12">
        <f t="shared" ca="1" si="64"/>
        <v>257324.47153401384</v>
      </c>
      <c r="G86" s="12">
        <f t="shared" ca="1" si="65"/>
        <v>326284.11397183203</v>
      </c>
      <c r="H86" s="12">
        <f t="shared" ca="1" si="66"/>
        <v>360853.59968732198</v>
      </c>
      <c r="I86" s="12">
        <f t="shared" ca="1" si="67"/>
        <v>395949.13450919208</v>
      </c>
      <c r="J86" s="12">
        <f t="shared" ca="1" si="68"/>
        <v>461321.36768240802</v>
      </c>
      <c r="K86" s="12">
        <f t="shared" ca="1" si="69"/>
        <v>469320.14763698686</v>
      </c>
      <c r="L86" s="12">
        <f t="shared" ca="1" si="70"/>
        <v>602549.98469710071</v>
      </c>
      <c r="M86" s="12">
        <f t="shared" ca="1" si="71"/>
        <v>710334.25628495566</v>
      </c>
      <c r="N86" s="12">
        <f t="shared" ca="1" si="72"/>
        <v>794328.32015794655</v>
      </c>
      <c r="O86" s="12">
        <f t="shared" ca="1" si="73"/>
        <v>950923.05163411272</v>
      </c>
      <c r="P86" s="12">
        <f t="shared" ca="1" si="74"/>
        <v>950040.90664782689</v>
      </c>
      <c r="Q86" s="12">
        <f t="shared" ca="1" si="75"/>
        <v>1058415.3870871079</v>
      </c>
      <c r="R86" s="12">
        <f t="shared" ca="1" si="76"/>
        <v>1155117.0638713639</v>
      </c>
      <c r="S86" s="12">
        <f t="shared" ca="1" si="77"/>
        <v>1235675.4480773841</v>
      </c>
      <c r="T86" s="12">
        <f t="shared" ca="1" si="78"/>
        <v>1482642.0923347573</v>
      </c>
      <c r="U86" s="12">
        <f t="shared" ca="1" si="79"/>
        <v>1605085.1362123722</v>
      </c>
      <c r="V86" s="12">
        <f t="shared" ca="1" si="80"/>
        <v>1756315.6395587549</v>
      </c>
      <c r="W86" s="12">
        <f t="shared" ca="1" si="81"/>
        <v>2051831.1867253026</v>
      </c>
      <c r="X86" s="12">
        <f t="shared" ca="1" si="82"/>
        <v>1982461.6772485604</v>
      </c>
      <c r="Y86" s="12">
        <f t="shared" ca="1" si="83"/>
        <v>1849567.3770415075</v>
      </c>
      <c r="Z86" s="12">
        <f t="shared" ca="1" si="84"/>
        <v>1648968.5761907732</v>
      </c>
      <c r="AA86" s="12">
        <f t="shared" ca="1" si="85"/>
        <v>1841046.187461531</v>
      </c>
      <c r="AB86" s="12">
        <f t="shared" ca="1" si="86"/>
        <v>1984169.944915246</v>
      </c>
      <c r="AC86" s="12">
        <f t="shared" ca="1" si="87"/>
        <v>2006502.1147390713</v>
      </c>
      <c r="AD86" s="12">
        <f t="shared" ca="1" si="88"/>
        <v>1978093.5243367271</v>
      </c>
      <c r="AE86" s="12">
        <f t="shared" ca="1" si="89"/>
        <v>2022971.6816145044</v>
      </c>
      <c r="AF86" s="12">
        <f t="shared" ca="1" si="90"/>
        <v>1881207.8230862604</v>
      </c>
      <c r="AG86" s="12">
        <f t="shared" ca="1" si="91"/>
        <v>2314168.3791886349</v>
      </c>
      <c r="AH86" s="12">
        <f t="shared" ca="1" si="92"/>
        <v>2314168.3791886349</v>
      </c>
    </row>
    <row r="87" spans="2:34" x14ac:dyDescent="0.25">
      <c r="B87" s="6">
        <v>71</v>
      </c>
      <c r="D87" s="12">
        <f t="shared" ca="1" si="62"/>
        <v>196154.05168400437</v>
      </c>
      <c r="E87" s="12">
        <f t="shared" ca="1" si="63"/>
        <v>241440.64943570254</v>
      </c>
      <c r="F87" s="12">
        <f t="shared" ca="1" si="64"/>
        <v>259235.75699626663</v>
      </c>
      <c r="G87" s="12">
        <f t="shared" ca="1" si="65"/>
        <v>288233.83377967676</v>
      </c>
      <c r="H87" s="12">
        <f t="shared" ca="1" si="66"/>
        <v>348611.98188848334</v>
      </c>
      <c r="I87" s="12">
        <f t="shared" ca="1" si="67"/>
        <v>405649.61574360344</v>
      </c>
      <c r="J87" s="12">
        <f t="shared" ca="1" si="68"/>
        <v>418215.49525079224</v>
      </c>
      <c r="K87" s="12">
        <f t="shared" ca="1" si="69"/>
        <v>516040.85816664842</v>
      </c>
      <c r="L87" s="12">
        <f t="shared" ca="1" si="70"/>
        <v>691720.21617119189</v>
      </c>
      <c r="M87" s="12">
        <f t="shared" ca="1" si="71"/>
        <v>708739.14540190715</v>
      </c>
      <c r="N87" s="12">
        <f t="shared" ca="1" si="72"/>
        <v>760500.64268094103</v>
      </c>
      <c r="O87" s="12">
        <f t="shared" ca="1" si="73"/>
        <v>854079.9849100702</v>
      </c>
      <c r="P87" s="12">
        <f t="shared" ca="1" si="74"/>
        <v>1029137.1854972212</v>
      </c>
      <c r="Q87" s="12">
        <f t="shared" ca="1" si="75"/>
        <v>1133834.2431808005</v>
      </c>
      <c r="R87" s="12">
        <f t="shared" ca="1" si="76"/>
        <v>1015434.3969313388</v>
      </c>
      <c r="S87" s="12">
        <f t="shared" ca="1" si="77"/>
        <v>1062778.739225999</v>
      </c>
      <c r="T87" s="12">
        <f t="shared" ca="1" si="78"/>
        <v>1086423.4869566651</v>
      </c>
      <c r="U87" s="12">
        <f t="shared" ca="1" si="79"/>
        <v>1310610.8160784456</v>
      </c>
      <c r="V87" s="12">
        <f t="shared" ca="1" si="80"/>
        <v>1341603.2055643972</v>
      </c>
      <c r="W87" s="12">
        <f t="shared" ca="1" si="81"/>
        <v>1597829.9758689608</v>
      </c>
      <c r="X87" s="12">
        <f t="shared" ca="1" si="82"/>
        <v>1764347.0936548873</v>
      </c>
      <c r="Y87" s="12">
        <f t="shared" ca="1" si="83"/>
        <v>1617640.8629744372</v>
      </c>
      <c r="Z87" s="12">
        <f t="shared" ca="1" si="84"/>
        <v>1686451.2933719868</v>
      </c>
      <c r="AA87" s="12">
        <f t="shared" ca="1" si="85"/>
        <v>1661631.3485555719</v>
      </c>
      <c r="AB87" s="12">
        <f t="shared" ca="1" si="86"/>
        <v>1567102.772275063</v>
      </c>
      <c r="AC87" s="12">
        <f t="shared" ca="1" si="87"/>
        <v>1787010.3160889682</v>
      </c>
      <c r="AD87" s="12">
        <f t="shared" ca="1" si="88"/>
        <v>2475070.6199401342</v>
      </c>
      <c r="AE87" s="12">
        <f t="shared" ca="1" si="89"/>
        <v>2534014.8015753804</v>
      </c>
      <c r="AF87" s="12">
        <f t="shared" ca="1" si="90"/>
        <v>2460620.7232860508</v>
      </c>
      <c r="AG87" s="12">
        <f t="shared" ca="1" si="91"/>
        <v>3115609.9746844186</v>
      </c>
      <c r="AH87" s="12">
        <f t="shared" ca="1" si="92"/>
        <v>3115609.9746844186</v>
      </c>
    </row>
    <row r="88" spans="2:34" x14ac:dyDescent="0.25">
      <c r="B88" s="6">
        <v>72</v>
      </c>
      <c r="D88" s="12">
        <f t="shared" ca="1" si="62"/>
        <v>179451.09617358388</v>
      </c>
      <c r="E88" s="12">
        <f t="shared" ca="1" si="63"/>
        <v>205682.80221915152</v>
      </c>
      <c r="F88" s="12">
        <f t="shared" ca="1" si="64"/>
        <v>242732.45413346097</v>
      </c>
      <c r="G88" s="12">
        <f t="shared" ca="1" si="65"/>
        <v>240941.49395981242</v>
      </c>
      <c r="H88" s="12">
        <f t="shared" ca="1" si="66"/>
        <v>297577.5307996177</v>
      </c>
      <c r="I88" s="12">
        <f t="shared" ca="1" si="67"/>
        <v>386855.14589498838</v>
      </c>
      <c r="J88" s="12">
        <f t="shared" ca="1" si="68"/>
        <v>389507.14838520542</v>
      </c>
      <c r="K88" s="12">
        <f t="shared" ca="1" si="69"/>
        <v>409747.19112972828</v>
      </c>
      <c r="L88" s="12">
        <f t="shared" ca="1" si="70"/>
        <v>455947.60746048315</v>
      </c>
      <c r="M88" s="12">
        <f t="shared" ca="1" si="71"/>
        <v>522435.09844742221</v>
      </c>
      <c r="N88" s="12">
        <f t="shared" ca="1" si="72"/>
        <v>613057.8130577777</v>
      </c>
      <c r="O88" s="12">
        <f t="shared" ca="1" si="73"/>
        <v>763007.79272554477</v>
      </c>
      <c r="P88" s="12">
        <f t="shared" ca="1" si="74"/>
        <v>901563.66108516359</v>
      </c>
      <c r="Q88" s="12">
        <f t="shared" ca="1" si="75"/>
        <v>1096404.9195502817</v>
      </c>
      <c r="R88" s="12">
        <f t="shared" ca="1" si="76"/>
        <v>990593.56444380817</v>
      </c>
      <c r="S88" s="12">
        <f t="shared" ca="1" si="77"/>
        <v>1138518.609027927</v>
      </c>
      <c r="T88" s="12">
        <f t="shared" ca="1" si="78"/>
        <v>1456046.6243096723</v>
      </c>
      <c r="U88" s="12">
        <f t="shared" ca="1" si="79"/>
        <v>1456064.33904833</v>
      </c>
      <c r="V88" s="12">
        <f t="shared" ca="1" si="80"/>
        <v>1577952.4119585853</v>
      </c>
      <c r="W88" s="12">
        <f t="shared" ca="1" si="81"/>
        <v>1467336.0827584916</v>
      </c>
      <c r="X88" s="12">
        <f t="shared" ca="1" si="82"/>
        <v>1698216.0758310275</v>
      </c>
      <c r="Y88" s="12">
        <f t="shared" ca="1" si="83"/>
        <v>1855894.2149527608</v>
      </c>
      <c r="Z88" s="12">
        <f t="shared" ca="1" si="84"/>
        <v>2174453.559956627</v>
      </c>
      <c r="AA88" s="12">
        <f t="shared" ca="1" si="85"/>
        <v>2144168.1650714907</v>
      </c>
      <c r="AB88" s="12">
        <f t="shared" ca="1" si="86"/>
        <v>1994136.1803504741</v>
      </c>
      <c r="AC88" s="12">
        <f t="shared" ca="1" si="87"/>
        <v>2271006.5531837801</v>
      </c>
      <c r="AD88" s="12">
        <f t="shared" ca="1" si="88"/>
        <v>2474680.9585208367</v>
      </c>
      <c r="AE88" s="12">
        <f t="shared" ca="1" si="89"/>
        <v>2103135.9385931599</v>
      </c>
      <c r="AF88" s="12">
        <f t="shared" ca="1" si="90"/>
        <v>2563430.8228922314</v>
      </c>
      <c r="AG88" s="12">
        <f t="shared" ca="1" si="91"/>
        <v>3066486.314226462</v>
      </c>
      <c r="AH88" s="12">
        <f t="shared" ca="1" si="92"/>
        <v>3066486.314226462</v>
      </c>
    </row>
    <row r="89" spans="2:34" x14ac:dyDescent="0.25">
      <c r="B89" s="6">
        <v>73</v>
      </c>
      <c r="D89" s="12">
        <f t="shared" ca="1" si="62"/>
        <v>189321.63413322327</v>
      </c>
      <c r="E89" s="12">
        <f t="shared" ca="1" si="63"/>
        <v>210493.639067635</v>
      </c>
      <c r="F89" s="12">
        <f t="shared" ca="1" si="64"/>
        <v>237311.7754387148</v>
      </c>
      <c r="G89" s="12">
        <f t="shared" ca="1" si="65"/>
        <v>284756.94041968515</v>
      </c>
      <c r="H89" s="12">
        <f t="shared" ca="1" si="66"/>
        <v>287700.47190044593</v>
      </c>
      <c r="I89" s="12">
        <f t="shared" ca="1" si="67"/>
        <v>365392.74521959148</v>
      </c>
      <c r="J89" s="12">
        <f t="shared" ca="1" si="68"/>
        <v>413971.98853663052</v>
      </c>
      <c r="K89" s="12">
        <f t="shared" ca="1" si="69"/>
        <v>503609.22178885387</v>
      </c>
      <c r="L89" s="12">
        <f t="shared" ca="1" si="70"/>
        <v>536225.89637358731</v>
      </c>
      <c r="M89" s="12">
        <f t="shared" ca="1" si="71"/>
        <v>673635.10084182385</v>
      </c>
      <c r="N89" s="12">
        <f t="shared" ca="1" si="72"/>
        <v>697298.94905518775</v>
      </c>
      <c r="O89" s="12">
        <f t="shared" ca="1" si="73"/>
        <v>800149.34779747261</v>
      </c>
      <c r="P89" s="12">
        <f t="shared" ca="1" si="74"/>
        <v>836601.69470144622</v>
      </c>
      <c r="Q89" s="12">
        <f t="shared" ca="1" si="75"/>
        <v>937447.13488593989</v>
      </c>
      <c r="R89" s="12">
        <f t="shared" ca="1" si="76"/>
        <v>993997.59810147679</v>
      </c>
      <c r="S89" s="12">
        <f t="shared" ca="1" si="77"/>
        <v>1020713.5045445715</v>
      </c>
      <c r="T89" s="12">
        <f t="shared" ca="1" si="78"/>
        <v>1161123.866200811</v>
      </c>
      <c r="U89" s="12">
        <f t="shared" ca="1" si="79"/>
        <v>1162172.9625027089</v>
      </c>
      <c r="V89" s="12">
        <f t="shared" ca="1" si="80"/>
        <v>1272611.8426618357</v>
      </c>
      <c r="W89" s="12">
        <f t="shared" ca="1" si="81"/>
        <v>1373203.1493217626</v>
      </c>
      <c r="X89" s="12">
        <f t="shared" ca="1" si="82"/>
        <v>1605577.1788432419</v>
      </c>
      <c r="Y89" s="12">
        <f t="shared" ca="1" si="83"/>
        <v>1697891.0248215292</v>
      </c>
      <c r="Z89" s="12">
        <f t="shared" ca="1" si="84"/>
        <v>1941028.1320003946</v>
      </c>
      <c r="AA89" s="12">
        <f t="shared" ca="1" si="85"/>
        <v>2027952.9868208123</v>
      </c>
      <c r="AB89" s="12">
        <f t="shared" ca="1" si="86"/>
        <v>2282145.2448610608</v>
      </c>
      <c r="AC89" s="12">
        <f t="shared" ca="1" si="87"/>
        <v>2586201.8426052053</v>
      </c>
      <c r="AD89" s="12">
        <f t="shared" ca="1" si="88"/>
        <v>2439582.4501002235</v>
      </c>
      <c r="AE89" s="12">
        <f t="shared" ca="1" si="89"/>
        <v>2960838.4966307455</v>
      </c>
      <c r="AF89" s="12">
        <f t="shared" ca="1" si="90"/>
        <v>3588615.3205851787</v>
      </c>
      <c r="AG89" s="12">
        <f t="shared" ca="1" si="91"/>
        <v>4853875.6860981286</v>
      </c>
      <c r="AH89" s="12">
        <f t="shared" ca="1" si="92"/>
        <v>4853875.6860981286</v>
      </c>
    </row>
    <row r="90" spans="2:34" x14ac:dyDescent="0.25">
      <c r="B90" s="6">
        <v>74</v>
      </c>
      <c r="D90" s="12">
        <f t="shared" ca="1" si="62"/>
        <v>175326.53370630322</v>
      </c>
      <c r="E90" s="12">
        <f t="shared" ca="1" si="63"/>
        <v>174100.02914030018</v>
      </c>
      <c r="F90" s="12">
        <f t="shared" ca="1" si="64"/>
        <v>191192.07873813435</v>
      </c>
      <c r="G90" s="12">
        <f t="shared" ca="1" si="65"/>
        <v>219984.35962236146</v>
      </c>
      <c r="H90" s="12">
        <f t="shared" ca="1" si="66"/>
        <v>241899.12554706569</v>
      </c>
      <c r="I90" s="12">
        <f t="shared" ca="1" si="67"/>
        <v>294939.73236523586</v>
      </c>
      <c r="J90" s="12">
        <f t="shared" ca="1" si="68"/>
        <v>331900.86308077176</v>
      </c>
      <c r="K90" s="12">
        <f t="shared" ca="1" si="69"/>
        <v>329047.58873735566</v>
      </c>
      <c r="L90" s="12">
        <f t="shared" ca="1" si="70"/>
        <v>402100.02417476079</v>
      </c>
      <c r="M90" s="12">
        <f t="shared" ca="1" si="71"/>
        <v>451655.68526988226</v>
      </c>
      <c r="N90" s="12">
        <f t="shared" ca="1" si="72"/>
        <v>414344.1898494116</v>
      </c>
      <c r="O90" s="12">
        <f t="shared" ca="1" si="73"/>
        <v>481391.46224429872</v>
      </c>
      <c r="P90" s="12">
        <f t="shared" ca="1" si="74"/>
        <v>592792.3681505149</v>
      </c>
      <c r="Q90" s="12">
        <f t="shared" ca="1" si="75"/>
        <v>637913.33557489933</v>
      </c>
      <c r="R90" s="12">
        <f t="shared" ca="1" si="76"/>
        <v>650186.56214981922</v>
      </c>
      <c r="S90" s="12">
        <f t="shared" ca="1" si="77"/>
        <v>749266.83364310977</v>
      </c>
      <c r="T90" s="12">
        <f t="shared" ca="1" si="78"/>
        <v>774483.70294223551</v>
      </c>
      <c r="U90" s="12">
        <f t="shared" ca="1" si="79"/>
        <v>713984.22840497585</v>
      </c>
      <c r="V90" s="12">
        <f t="shared" ca="1" si="80"/>
        <v>764861.44247634243</v>
      </c>
      <c r="W90" s="12">
        <f t="shared" ca="1" si="81"/>
        <v>732976.35396859341</v>
      </c>
      <c r="X90" s="12">
        <f t="shared" ca="1" si="82"/>
        <v>902157.32551891985</v>
      </c>
      <c r="Y90" s="12">
        <f t="shared" ca="1" si="83"/>
        <v>995359.94521337328</v>
      </c>
      <c r="Z90" s="12">
        <f t="shared" ca="1" si="84"/>
        <v>1175735.0008556708</v>
      </c>
      <c r="AA90" s="12">
        <f t="shared" ca="1" si="85"/>
        <v>1264924.4502869016</v>
      </c>
      <c r="AB90" s="12">
        <f t="shared" ca="1" si="86"/>
        <v>1369210.3532913015</v>
      </c>
      <c r="AC90" s="12">
        <f t="shared" ca="1" si="87"/>
        <v>1481097.3059423161</v>
      </c>
      <c r="AD90" s="12">
        <f t="shared" ca="1" si="88"/>
        <v>1662738.9730317942</v>
      </c>
      <c r="AE90" s="12">
        <f t="shared" ca="1" si="89"/>
        <v>1959959.4105184886</v>
      </c>
      <c r="AF90" s="12">
        <f t="shared" ca="1" si="90"/>
        <v>1989885.3321057835</v>
      </c>
      <c r="AG90" s="12">
        <f t="shared" ca="1" si="91"/>
        <v>2559456.4181841961</v>
      </c>
      <c r="AH90" s="12">
        <f t="shared" ca="1" si="92"/>
        <v>2559456.4181841961</v>
      </c>
    </row>
    <row r="91" spans="2:34" x14ac:dyDescent="0.25">
      <c r="B91" s="6">
        <v>75</v>
      </c>
      <c r="D91" s="12">
        <f t="shared" ca="1" si="62"/>
        <v>211014.87649204634</v>
      </c>
      <c r="E91" s="12">
        <f t="shared" ca="1" si="63"/>
        <v>242600.65525895642</v>
      </c>
      <c r="F91" s="12">
        <f t="shared" ca="1" si="64"/>
        <v>319568.19326290238</v>
      </c>
      <c r="G91" s="12">
        <f t="shared" ca="1" si="65"/>
        <v>413725.88624418434</v>
      </c>
      <c r="H91" s="12">
        <f t="shared" ca="1" si="66"/>
        <v>503934.65211937873</v>
      </c>
      <c r="I91" s="12">
        <f t="shared" ca="1" si="67"/>
        <v>554707.1885449175</v>
      </c>
      <c r="J91" s="12">
        <f t="shared" ca="1" si="68"/>
        <v>664447.2384315395</v>
      </c>
      <c r="K91" s="12">
        <f t="shared" ca="1" si="69"/>
        <v>685380.35866778251</v>
      </c>
      <c r="L91" s="12">
        <f t="shared" ca="1" si="70"/>
        <v>717586.5310194022</v>
      </c>
      <c r="M91" s="12">
        <f t="shared" ca="1" si="71"/>
        <v>651812.36718876916</v>
      </c>
      <c r="N91" s="12">
        <f t="shared" ca="1" si="72"/>
        <v>630444.65662942349</v>
      </c>
      <c r="O91" s="12">
        <f t="shared" ca="1" si="73"/>
        <v>656284.18491568987</v>
      </c>
      <c r="P91" s="12">
        <f t="shared" ca="1" si="74"/>
        <v>733146.48940044548</v>
      </c>
      <c r="Q91" s="12">
        <f t="shared" ca="1" si="75"/>
        <v>691377.36910015019</v>
      </c>
      <c r="R91" s="12">
        <f t="shared" ca="1" si="76"/>
        <v>835455.5163943395</v>
      </c>
      <c r="S91" s="12">
        <f t="shared" ca="1" si="77"/>
        <v>862838.79194768937</v>
      </c>
      <c r="T91" s="12">
        <f t="shared" ca="1" si="78"/>
        <v>966954.50476745679</v>
      </c>
      <c r="U91" s="12">
        <f t="shared" ca="1" si="79"/>
        <v>927754.52218045061</v>
      </c>
      <c r="V91" s="12">
        <f t="shared" ca="1" si="80"/>
        <v>832270.94849588885</v>
      </c>
      <c r="W91" s="12">
        <f t="shared" ca="1" si="81"/>
        <v>853273.17644267925</v>
      </c>
      <c r="X91" s="12">
        <f t="shared" ca="1" si="82"/>
        <v>1025174.1585486914</v>
      </c>
      <c r="Y91" s="12">
        <f t="shared" ca="1" si="83"/>
        <v>1146462.9085776675</v>
      </c>
      <c r="Z91" s="12">
        <f t="shared" ca="1" si="84"/>
        <v>1386222.0772191728</v>
      </c>
      <c r="AA91" s="12">
        <f t="shared" ca="1" si="85"/>
        <v>1327338.4562404824</v>
      </c>
      <c r="AB91" s="12">
        <f t="shared" ca="1" si="86"/>
        <v>1788986.7229414808</v>
      </c>
      <c r="AC91" s="12">
        <f t="shared" ca="1" si="87"/>
        <v>2052701.1611646509</v>
      </c>
      <c r="AD91" s="12">
        <f t="shared" ca="1" si="88"/>
        <v>2140244.7062131627</v>
      </c>
      <c r="AE91" s="12">
        <f t="shared" ca="1" si="89"/>
        <v>1952405.9309872761</v>
      </c>
      <c r="AF91" s="12">
        <f t="shared" ca="1" si="90"/>
        <v>1830960.6959506604</v>
      </c>
      <c r="AG91" s="12">
        <f t="shared" ca="1" si="91"/>
        <v>1880084.6487201848</v>
      </c>
      <c r="AH91" s="12">
        <f t="shared" ca="1" si="92"/>
        <v>1880084.6487201848</v>
      </c>
    </row>
    <row r="92" spans="2:34" x14ac:dyDescent="0.25">
      <c r="B92" s="6">
        <v>76</v>
      </c>
      <c r="D92" s="12">
        <f t="shared" ca="1" si="62"/>
        <v>166052.90906748892</v>
      </c>
      <c r="E92" s="12">
        <f t="shared" ca="1" si="63"/>
        <v>203128.52501726826</v>
      </c>
      <c r="F92" s="12">
        <f t="shared" ca="1" si="64"/>
        <v>249758.29079591762</v>
      </c>
      <c r="G92" s="12">
        <f t="shared" ca="1" si="65"/>
        <v>227842.19385983114</v>
      </c>
      <c r="H92" s="12">
        <f t="shared" ca="1" si="66"/>
        <v>255114.43217749416</v>
      </c>
      <c r="I92" s="12">
        <f t="shared" ca="1" si="67"/>
        <v>313780.45061789977</v>
      </c>
      <c r="J92" s="12">
        <f t="shared" ca="1" si="68"/>
        <v>282540.98624193738</v>
      </c>
      <c r="K92" s="12">
        <f t="shared" ca="1" si="69"/>
        <v>322190.84761548339</v>
      </c>
      <c r="L92" s="12">
        <f t="shared" ca="1" si="70"/>
        <v>357867.49488001253</v>
      </c>
      <c r="M92" s="12">
        <f t="shared" ca="1" si="71"/>
        <v>423732.52433872258</v>
      </c>
      <c r="N92" s="12">
        <f t="shared" ca="1" si="72"/>
        <v>462970.07173923514</v>
      </c>
      <c r="O92" s="12">
        <f t="shared" ca="1" si="73"/>
        <v>474423.32238325302</v>
      </c>
      <c r="P92" s="12">
        <f t="shared" ca="1" si="74"/>
        <v>481313.78901228966</v>
      </c>
      <c r="Q92" s="12">
        <f t="shared" ca="1" si="75"/>
        <v>585647.75821295707</v>
      </c>
      <c r="R92" s="12">
        <f t="shared" ca="1" si="76"/>
        <v>645804.70171968348</v>
      </c>
      <c r="S92" s="12">
        <f t="shared" ca="1" si="77"/>
        <v>697316.54073669494</v>
      </c>
      <c r="T92" s="12">
        <f t="shared" ca="1" si="78"/>
        <v>885513.74020716129</v>
      </c>
      <c r="U92" s="12">
        <f t="shared" ca="1" si="79"/>
        <v>849660.21657477459</v>
      </c>
      <c r="V92" s="12">
        <f t="shared" ca="1" si="80"/>
        <v>1009715.4029291614</v>
      </c>
      <c r="W92" s="12">
        <f t="shared" ca="1" si="81"/>
        <v>1218620.397349691</v>
      </c>
      <c r="X92" s="12">
        <f t="shared" ca="1" si="82"/>
        <v>1269991.0712338483</v>
      </c>
      <c r="Y92" s="12">
        <f t="shared" ca="1" si="83"/>
        <v>1283970.3788624953</v>
      </c>
      <c r="Z92" s="12">
        <f t="shared" ca="1" si="84"/>
        <v>1251517.8473203578</v>
      </c>
      <c r="AA92" s="12">
        <f t="shared" ca="1" si="85"/>
        <v>1393349.9890393305</v>
      </c>
      <c r="AB92" s="12">
        <f t="shared" ca="1" si="86"/>
        <v>1569677.9130018023</v>
      </c>
      <c r="AC92" s="12">
        <f t="shared" ca="1" si="87"/>
        <v>1823500.5566525743</v>
      </c>
      <c r="AD92" s="12">
        <f t="shared" ca="1" si="88"/>
        <v>2217154.2375649135</v>
      </c>
      <c r="AE92" s="12">
        <f t="shared" ca="1" si="89"/>
        <v>1830995.7819388395</v>
      </c>
      <c r="AF92" s="12">
        <f t="shared" ca="1" si="90"/>
        <v>1598096.6746153284</v>
      </c>
      <c r="AG92" s="12">
        <f t="shared" ca="1" si="91"/>
        <v>1850507.1911459973</v>
      </c>
      <c r="AH92" s="12">
        <f t="shared" ca="1" si="92"/>
        <v>1850507.1911459973</v>
      </c>
    </row>
    <row r="93" spans="2:34" x14ac:dyDescent="0.25">
      <c r="B93" s="6">
        <v>77</v>
      </c>
      <c r="D93" s="12">
        <f t="shared" ca="1" si="62"/>
        <v>174023.67444195499</v>
      </c>
      <c r="E93" s="12">
        <f t="shared" ca="1" si="63"/>
        <v>199010.58372535586</v>
      </c>
      <c r="F93" s="12">
        <f t="shared" ca="1" si="64"/>
        <v>259150.07908079028</v>
      </c>
      <c r="G93" s="12">
        <f t="shared" ca="1" si="65"/>
        <v>304161.73340148159</v>
      </c>
      <c r="H93" s="12">
        <f t="shared" ca="1" si="66"/>
        <v>332798.71238782356</v>
      </c>
      <c r="I93" s="12">
        <f t="shared" ca="1" si="67"/>
        <v>429282.94691081805</v>
      </c>
      <c r="J93" s="12">
        <f t="shared" ca="1" si="68"/>
        <v>420513.00640299154</v>
      </c>
      <c r="K93" s="12">
        <f t="shared" ca="1" si="69"/>
        <v>414275.88981264597</v>
      </c>
      <c r="L93" s="12">
        <f t="shared" ca="1" si="70"/>
        <v>530851.29791643913</v>
      </c>
      <c r="M93" s="12">
        <f t="shared" ca="1" si="71"/>
        <v>713332.03769752535</v>
      </c>
      <c r="N93" s="12">
        <f t="shared" ca="1" si="72"/>
        <v>758810.56196677545</v>
      </c>
      <c r="O93" s="12">
        <f t="shared" ca="1" si="73"/>
        <v>917946.06321690802</v>
      </c>
      <c r="P93" s="12">
        <f t="shared" ca="1" si="74"/>
        <v>975769.73840739345</v>
      </c>
      <c r="Q93" s="12">
        <f t="shared" ca="1" si="75"/>
        <v>1064262.5471628348</v>
      </c>
      <c r="R93" s="12">
        <f t="shared" ca="1" si="76"/>
        <v>1169511.0273109898</v>
      </c>
      <c r="S93" s="12">
        <f t="shared" ca="1" si="77"/>
        <v>1298298.5383248248</v>
      </c>
      <c r="T93" s="12">
        <f t="shared" ca="1" si="78"/>
        <v>1300895.7725176192</v>
      </c>
      <c r="U93" s="12">
        <f t="shared" ca="1" si="79"/>
        <v>1386133.935850587</v>
      </c>
      <c r="V93" s="12">
        <f t="shared" ca="1" si="80"/>
        <v>1618503.3849452436</v>
      </c>
      <c r="W93" s="12">
        <f t="shared" ca="1" si="81"/>
        <v>1759256.5237546181</v>
      </c>
      <c r="X93" s="12">
        <f t="shared" ca="1" si="82"/>
        <v>1909898.2944223981</v>
      </c>
      <c r="Y93" s="12">
        <f t="shared" ca="1" si="83"/>
        <v>2449559.6672179587</v>
      </c>
      <c r="Z93" s="12">
        <f t="shared" ca="1" si="84"/>
        <v>2798728.8653068845</v>
      </c>
      <c r="AA93" s="12">
        <f t="shared" ca="1" si="85"/>
        <v>3172501.3922276227</v>
      </c>
      <c r="AB93" s="12">
        <f t="shared" ca="1" si="86"/>
        <v>3506051.8438022663</v>
      </c>
      <c r="AC93" s="12">
        <f t="shared" ca="1" si="87"/>
        <v>4286390.5502839796</v>
      </c>
      <c r="AD93" s="12">
        <f t="shared" ca="1" si="88"/>
        <v>4344906.1127429325</v>
      </c>
      <c r="AE93" s="12">
        <f t="shared" ca="1" si="89"/>
        <v>4584479.3117322242</v>
      </c>
      <c r="AF93" s="12">
        <f t="shared" ca="1" si="90"/>
        <v>4253160.1535426071</v>
      </c>
      <c r="AG93" s="12">
        <f t="shared" ca="1" si="91"/>
        <v>3724174.0327896345</v>
      </c>
      <c r="AH93" s="12">
        <f t="shared" ca="1" si="92"/>
        <v>3724174.0327896345</v>
      </c>
    </row>
    <row r="94" spans="2:34" x14ac:dyDescent="0.25">
      <c r="B94" s="6">
        <v>78</v>
      </c>
      <c r="D94" s="12">
        <f t="shared" ca="1" si="62"/>
        <v>181460.40201649387</v>
      </c>
      <c r="E94" s="12">
        <f t="shared" ca="1" si="63"/>
        <v>196632.62506489689</v>
      </c>
      <c r="F94" s="12">
        <f t="shared" ca="1" si="64"/>
        <v>266653.93235748122</v>
      </c>
      <c r="G94" s="12">
        <f t="shared" ca="1" si="65"/>
        <v>269124.34580117173</v>
      </c>
      <c r="H94" s="12">
        <f t="shared" ca="1" si="66"/>
        <v>292812.80274481868</v>
      </c>
      <c r="I94" s="12">
        <f t="shared" ca="1" si="67"/>
        <v>364119.53884565819</v>
      </c>
      <c r="J94" s="12">
        <f t="shared" ca="1" si="68"/>
        <v>378767.09809833922</v>
      </c>
      <c r="K94" s="12">
        <f t="shared" ca="1" si="69"/>
        <v>459629.52252022602</v>
      </c>
      <c r="L94" s="12">
        <f t="shared" ca="1" si="70"/>
        <v>576236.85369317036</v>
      </c>
      <c r="M94" s="12">
        <f t="shared" ca="1" si="71"/>
        <v>741385.70439432969</v>
      </c>
      <c r="N94" s="12">
        <f t="shared" ca="1" si="72"/>
        <v>813112.68768970878</v>
      </c>
      <c r="O94" s="12">
        <f t="shared" ca="1" si="73"/>
        <v>607919.97098920855</v>
      </c>
      <c r="P94" s="12">
        <f t="shared" ca="1" si="74"/>
        <v>687988.41482191102</v>
      </c>
      <c r="Q94" s="12">
        <f t="shared" ca="1" si="75"/>
        <v>799644.58092966501</v>
      </c>
      <c r="R94" s="12">
        <f t="shared" ca="1" si="76"/>
        <v>863757.13479877787</v>
      </c>
      <c r="S94" s="12">
        <f t="shared" ca="1" si="77"/>
        <v>991680.98900966684</v>
      </c>
      <c r="T94" s="12">
        <f t="shared" ca="1" si="78"/>
        <v>1187778.3227341678</v>
      </c>
      <c r="U94" s="12">
        <f t="shared" ca="1" si="79"/>
        <v>1405703.7199346682</v>
      </c>
      <c r="V94" s="12">
        <f t="shared" ca="1" si="80"/>
        <v>1760529.1629200319</v>
      </c>
      <c r="W94" s="12">
        <f t="shared" ca="1" si="81"/>
        <v>2132926.3129868121</v>
      </c>
      <c r="X94" s="12">
        <f t="shared" ca="1" si="82"/>
        <v>2511292.3119150153</v>
      </c>
      <c r="Y94" s="12">
        <f t="shared" ca="1" si="83"/>
        <v>2786271.62068121</v>
      </c>
      <c r="Z94" s="12">
        <f t="shared" ca="1" si="84"/>
        <v>2673394.8911918676</v>
      </c>
      <c r="AA94" s="12">
        <f t="shared" ca="1" si="85"/>
        <v>2965984.8920546016</v>
      </c>
      <c r="AB94" s="12">
        <f t="shared" ca="1" si="86"/>
        <v>3781331.2815650087</v>
      </c>
      <c r="AC94" s="12">
        <f t="shared" ca="1" si="87"/>
        <v>4785581.9831198752</v>
      </c>
      <c r="AD94" s="12">
        <f t="shared" ca="1" si="88"/>
        <v>4743194.8356464766</v>
      </c>
      <c r="AE94" s="12">
        <f t="shared" ca="1" si="89"/>
        <v>4784100.4983474854</v>
      </c>
      <c r="AF94" s="12">
        <f t="shared" ca="1" si="90"/>
        <v>5504300.191557942</v>
      </c>
      <c r="AG94" s="12">
        <f t="shared" ca="1" si="91"/>
        <v>6247485.4768637363</v>
      </c>
      <c r="AH94" s="12">
        <f t="shared" ca="1" si="92"/>
        <v>6247485.4768637363</v>
      </c>
    </row>
    <row r="95" spans="2:34" x14ac:dyDescent="0.25">
      <c r="B95" s="6">
        <v>79</v>
      </c>
      <c r="D95" s="12">
        <f t="shared" ca="1" si="62"/>
        <v>179128.60011869742</v>
      </c>
      <c r="E95" s="12">
        <f t="shared" ca="1" si="63"/>
        <v>188918.62082945637</v>
      </c>
      <c r="F95" s="12">
        <f t="shared" ca="1" si="64"/>
        <v>248591.42750837858</v>
      </c>
      <c r="G95" s="12">
        <f t="shared" ca="1" si="65"/>
        <v>291365.50675414031</v>
      </c>
      <c r="H95" s="12">
        <f t="shared" ca="1" si="66"/>
        <v>332142.4008545347</v>
      </c>
      <c r="I95" s="12">
        <f t="shared" ca="1" si="67"/>
        <v>301799.66283463727</v>
      </c>
      <c r="J95" s="12">
        <f t="shared" ca="1" si="68"/>
        <v>359672.87173081032</v>
      </c>
      <c r="K95" s="12">
        <f t="shared" ca="1" si="69"/>
        <v>414248.90522625064</v>
      </c>
      <c r="L95" s="12">
        <f t="shared" ca="1" si="70"/>
        <v>480782.21417725226</v>
      </c>
      <c r="M95" s="12">
        <f t="shared" ca="1" si="71"/>
        <v>459053.07468591363</v>
      </c>
      <c r="N95" s="12">
        <f t="shared" ca="1" si="72"/>
        <v>485212.74421563116</v>
      </c>
      <c r="O95" s="12">
        <f t="shared" ca="1" si="73"/>
        <v>591952.55305698467</v>
      </c>
      <c r="P95" s="12">
        <f t="shared" ca="1" si="74"/>
        <v>727407.80775404302</v>
      </c>
      <c r="Q95" s="12">
        <f t="shared" ca="1" si="75"/>
        <v>772674.49686655926</v>
      </c>
      <c r="R95" s="12">
        <f t="shared" ca="1" si="76"/>
        <v>998478.87361593614</v>
      </c>
      <c r="S95" s="12">
        <f t="shared" ca="1" si="77"/>
        <v>1222015.6606394926</v>
      </c>
      <c r="T95" s="12">
        <f t="shared" ca="1" si="78"/>
        <v>1202113.5169136743</v>
      </c>
      <c r="U95" s="12">
        <f t="shared" ca="1" si="79"/>
        <v>1175710.453819233</v>
      </c>
      <c r="V95" s="12">
        <f t="shared" ca="1" si="80"/>
        <v>1031041.5525914612</v>
      </c>
      <c r="W95" s="12">
        <f t="shared" ca="1" si="81"/>
        <v>1058596.3199209722</v>
      </c>
      <c r="X95" s="12">
        <f t="shared" ca="1" si="82"/>
        <v>986100.48051598878</v>
      </c>
      <c r="Y95" s="12">
        <f t="shared" ca="1" si="83"/>
        <v>1143097.5213863864</v>
      </c>
      <c r="Z95" s="12">
        <f t="shared" ca="1" si="84"/>
        <v>1404046.1372472427</v>
      </c>
      <c r="AA95" s="12">
        <f t="shared" ca="1" si="85"/>
        <v>1646255.8187590051</v>
      </c>
      <c r="AB95" s="12">
        <f t="shared" ca="1" si="86"/>
        <v>1911739.7887943096</v>
      </c>
      <c r="AC95" s="12">
        <f t="shared" ca="1" si="87"/>
        <v>1737740.8544476996</v>
      </c>
      <c r="AD95" s="12">
        <f t="shared" ca="1" si="88"/>
        <v>1787044.1502923807</v>
      </c>
      <c r="AE95" s="12">
        <f t="shared" ca="1" si="89"/>
        <v>1983194.4242768155</v>
      </c>
      <c r="AF95" s="12">
        <f t="shared" ca="1" si="90"/>
        <v>2309847.9540226627</v>
      </c>
      <c r="AG95" s="12">
        <f t="shared" ca="1" si="91"/>
        <v>2110055.8791741678</v>
      </c>
      <c r="AH95" s="12">
        <f t="shared" ca="1" si="92"/>
        <v>2110055.8791741678</v>
      </c>
    </row>
    <row r="96" spans="2:34" x14ac:dyDescent="0.25">
      <c r="B96" s="6">
        <v>80</v>
      </c>
      <c r="D96" s="12">
        <f t="shared" ca="1" si="62"/>
        <v>173203.77253232774</v>
      </c>
      <c r="E96" s="12">
        <f t="shared" ca="1" si="63"/>
        <v>204565.70436012949</v>
      </c>
      <c r="F96" s="12">
        <f t="shared" ca="1" si="64"/>
        <v>207271.42881023698</v>
      </c>
      <c r="G96" s="12">
        <f t="shared" ca="1" si="65"/>
        <v>242533.78818136352</v>
      </c>
      <c r="H96" s="12">
        <f t="shared" ca="1" si="66"/>
        <v>294869.92338445416</v>
      </c>
      <c r="I96" s="12">
        <f t="shared" ca="1" si="67"/>
        <v>359172.39930715424</v>
      </c>
      <c r="J96" s="12">
        <f t="shared" ca="1" si="68"/>
        <v>387300.67361191486</v>
      </c>
      <c r="K96" s="12">
        <f t="shared" ca="1" si="69"/>
        <v>432485.53772055241</v>
      </c>
      <c r="L96" s="12">
        <f t="shared" ca="1" si="70"/>
        <v>475533.83011854382</v>
      </c>
      <c r="M96" s="12">
        <f t="shared" ca="1" si="71"/>
        <v>532317.69722357509</v>
      </c>
      <c r="N96" s="12">
        <f t="shared" ca="1" si="72"/>
        <v>572437.70837027498</v>
      </c>
      <c r="O96" s="12">
        <f t="shared" ca="1" si="73"/>
        <v>650466.4026137864</v>
      </c>
      <c r="P96" s="12">
        <f t="shared" ca="1" si="74"/>
        <v>625234.67090900976</v>
      </c>
      <c r="Q96" s="12">
        <f t="shared" ca="1" si="75"/>
        <v>723188.3279966407</v>
      </c>
      <c r="R96" s="12">
        <f t="shared" ca="1" si="76"/>
        <v>747113.92532802629</v>
      </c>
      <c r="S96" s="12">
        <f t="shared" ca="1" si="77"/>
        <v>681106.94238573569</v>
      </c>
      <c r="T96" s="12">
        <f t="shared" ca="1" si="78"/>
        <v>777075.16296043328</v>
      </c>
      <c r="U96" s="12">
        <f t="shared" ca="1" si="79"/>
        <v>934752.16588843043</v>
      </c>
      <c r="V96" s="12">
        <f t="shared" ca="1" si="80"/>
        <v>1011690.0819193783</v>
      </c>
      <c r="W96" s="12">
        <f t="shared" ca="1" si="81"/>
        <v>1072755.5449219407</v>
      </c>
      <c r="X96" s="12">
        <f t="shared" ca="1" si="82"/>
        <v>1161590.6579991921</v>
      </c>
      <c r="Y96" s="12">
        <f t="shared" ca="1" si="83"/>
        <v>1317612.9532127804</v>
      </c>
      <c r="Z96" s="12">
        <f t="shared" ca="1" si="84"/>
        <v>1422810.6053494485</v>
      </c>
      <c r="AA96" s="12">
        <f t="shared" ca="1" si="85"/>
        <v>1747058.7032556396</v>
      </c>
      <c r="AB96" s="12">
        <f t="shared" ca="1" si="86"/>
        <v>1754349.8800641836</v>
      </c>
      <c r="AC96" s="12">
        <f t="shared" ca="1" si="87"/>
        <v>1942503.5909503938</v>
      </c>
      <c r="AD96" s="12">
        <f t="shared" ca="1" si="88"/>
        <v>2206790.6806380805</v>
      </c>
      <c r="AE96" s="12">
        <f t="shared" ca="1" si="89"/>
        <v>2393767.8568607299</v>
      </c>
      <c r="AF96" s="12">
        <f t="shared" ca="1" si="90"/>
        <v>2839674.955512946</v>
      </c>
      <c r="AG96" s="12">
        <f t="shared" ca="1" si="91"/>
        <v>3153382.0815326842</v>
      </c>
      <c r="AH96" s="12">
        <f t="shared" ca="1" si="92"/>
        <v>3153382.0815326842</v>
      </c>
    </row>
    <row r="97" spans="2:34" x14ac:dyDescent="0.25">
      <c r="B97" s="6">
        <v>81</v>
      </c>
      <c r="D97" s="12">
        <f t="shared" ca="1" si="62"/>
        <v>177169.4018864095</v>
      </c>
      <c r="E97" s="12">
        <f t="shared" ca="1" si="63"/>
        <v>180674.47769066138</v>
      </c>
      <c r="F97" s="12">
        <f t="shared" ca="1" si="64"/>
        <v>175234.21075747401</v>
      </c>
      <c r="G97" s="12">
        <f t="shared" ca="1" si="65"/>
        <v>196104.82460736355</v>
      </c>
      <c r="H97" s="12">
        <f t="shared" ca="1" si="66"/>
        <v>242402.66415848138</v>
      </c>
      <c r="I97" s="12">
        <f t="shared" ca="1" si="67"/>
        <v>264304.79634631815</v>
      </c>
      <c r="J97" s="12">
        <f t="shared" ca="1" si="68"/>
        <v>226509.52395148986</v>
      </c>
      <c r="K97" s="12">
        <f t="shared" ca="1" si="69"/>
        <v>283241.55965165276</v>
      </c>
      <c r="L97" s="12">
        <f t="shared" ca="1" si="70"/>
        <v>330650.42711702531</v>
      </c>
      <c r="M97" s="12">
        <f t="shared" ca="1" si="71"/>
        <v>403608.68779220822</v>
      </c>
      <c r="N97" s="12">
        <f t="shared" ca="1" si="72"/>
        <v>474889.04985946481</v>
      </c>
      <c r="O97" s="12">
        <f t="shared" ca="1" si="73"/>
        <v>560346.27646514575</v>
      </c>
      <c r="P97" s="12">
        <f t="shared" ca="1" si="74"/>
        <v>665754.30109106738</v>
      </c>
      <c r="Q97" s="12">
        <f t="shared" ca="1" si="75"/>
        <v>733901.65281203773</v>
      </c>
      <c r="R97" s="12">
        <f t="shared" ca="1" si="76"/>
        <v>789233.08794485638</v>
      </c>
      <c r="S97" s="12">
        <f t="shared" ca="1" si="77"/>
        <v>824474.11869286781</v>
      </c>
      <c r="T97" s="12">
        <f t="shared" ca="1" si="78"/>
        <v>903068.75178195757</v>
      </c>
      <c r="U97" s="12">
        <f t="shared" ca="1" si="79"/>
        <v>1058332.4851799023</v>
      </c>
      <c r="V97" s="12">
        <f t="shared" ca="1" si="80"/>
        <v>1211283.0559376897</v>
      </c>
      <c r="W97" s="12">
        <f t="shared" ca="1" si="81"/>
        <v>1401811.4431042869</v>
      </c>
      <c r="X97" s="12">
        <f t="shared" ca="1" si="82"/>
        <v>1595740.8176554535</v>
      </c>
      <c r="Y97" s="12">
        <f t="shared" ca="1" si="83"/>
        <v>1763020.2307375777</v>
      </c>
      <c r="Z97" s="12">
        <f t="shared" ca="1" si="84"/>
        <v>1566829.1240617081</v>
      </c>
      <c r="AA97" s="12">
        <f t="shared" ca="1" si="85"/>
        <v>1315903.0821844803</v>
      </c>
      <c r="AB97" s="12">
        <f t="shared" ca="1" si="86"/>
        <v>1652352.7538641763</v>
      </c>
      <c r="AC97" s="12">
        <f t="shared" ca="1" si="87"/>
        <v>2128507.5900713606</v>
      </c>
      <c r="AD97" s="12">
        <f t="shared" ca="1" si="88"/>
        <v>2283898.4468947835</v>
      </c>
      <c r="AE97" s="12">
        <f t="shared" ca="1" si="89"/>
        <v>2573325.0889756479</v>
      </c>
      <c r="AF97" s="12">
        <f t="shared" ca="1" si="90"/>
        <v>2524043.6003819867</v>
      </c>
      <c r="AG97" s="12">
        <f t="shared" ca="1" si="91"/>
        <v>2363419.9353772588</v>
      </c>
      <c r="AH97" s="12">
        <f t="shared" ca="1" si="92"/>
        <v>2363419.9353772588</v>
      </c>
    </row>
    <row r="98" spans="2:34" x14ac:dyDescent="0.25">
      <c r="B98" s="6">
        <v>82</v>
      </c>
      <c r="D98" s="12">
        <f t="shared" ca="1" si="62"/>
        <v>161404.50397600073</v>
      </c>
      <c r="E98" s="12">
        <f t="shared" ca="1" si="63"/>
        <v>187112.45153019927</v>
      </c>
      <c r="F98" s="12">
        <f t="shared" ca="1" si="64"/>
        <v>234149.31041973043</v>
      </c>
      <c r="G98" s="12">
        <f t="shared" ca="1" si="65"/>
        <v>276557.17455555871</v>
      </c>
      <c r="H98" s="12">
        <f t="shared" ca="1" si="66"/>
        <v>281555.89582389919</v>
      </c>
      <c r="I98" s="12">
        <f t="shared" ca="1" si="67"/>
        <v>291302.32034022809</v>
      </c>
      <c r="J98" s="12">
        <f t="shared" ca="1" si="68"/>
        <v>320008.45024791406</v>
      </c>
      <c r="K98" s="12">
        <f t="shared" ca="1" si="69"/>
        <v>307653.14760838618</v>
      </c>
      <c r="L98" s="12">
        <f t="shared" ca="1" si="70"/>
        <v>407389.31442761235</v>
      </c>
      <c r="M98" s="12">
        <f t="shared" ca="1" si="71"/>
        <v>473121.289869364</v>
      </c>
      <c r="N98" s="12">
        <f t="shared" ca="1" si="72"/>
        <v>534133.01513963041</v>
      </c>
      <c r="O98" s="12">
        <f t="shared" ca="1" si="73"/>
        <v>613998.75636408385</v>
      </c>
      <c r="P98" s="12">
        <f t="shared" ca="1" si="74"/>
        <v>715424.38124919322</v>
      </c>
      <c r="Q98" s="12">
        <f t="shared" ca="1" si="75"/>
        <v>837683.17635716649</v>
      </c>
      <c r="R98" s="12">
        <f t="shared" ca="1" si="76"/>
        <v>939763.43793076475</v>
      </c>
      <c r="S98" s="12">
        <f t="shared" ca="1" si="77"/>
        <v>912426.16818579973</v>
      </c>
      <c r="T98" s="12">
        <f t="shared" ca="1" si="78"/>
        <v>1033163.0440177956</v>
      </c>
      <c r="U98" s="12">
        <f t="shared" ca="1" si="79"/>
        <v>1236963.0598216504</v>
      </c>
      <c r="V98" s="12">
        <f t="shared" ca="1" si="80"/>
        <v>1271430.9505727864</v>
      </c>
      <c r="W98" s="12">
        <f t="shared" ca="1" si="81"/>
        <v>1307897.1930667504</v>
      </c>
      <c r="X98" s="12">
        <f t="shared" ca="1" si="82"/>
        <v>1323690.5946231249</v>
      </c>
      <c r="Y98" s="12">
        <f t="shared" ca="1" si="83"/>
        <v>1328183.96159562</v>
      </c>
      <c r="Z98" s="12">
        <f t="shared" ca="1" si="84"/>
        <v>1658772.2563153007</v>
      </c>
      <c r="AA98" s="12">
        <f t="shared" ca="1" si="85"/>
        <v>1731794.4897621695</v>
      </c>
      <c r="AB98" s="12">
        <f t="shared" ca="1" si="86"/>
        <v>1828530.4589929853</v>
      </c>
      <c r="AC98" s="12">
        <f t="shared" ca="1" si="87"/>
        <v>2167522.2201993386</v>
      </c>
      <c r="AD98" s="12">
        <f t="shared" ca="1" si="88"/>
        <v>2438017.3547706748</v>
      </c>
      <c r="AE98" s="12">
        <f t="shared" ca="1" si="89"/>
        <v>2608109.8876593923</v>
      </c>
      <c r="AF98" s="12">
        <f t="shared" ca="1" si="90"/>
        <v>2795973.5343975034</v>
      </c>
      <c r="AG98" s="12">
        <f t="shared" ca="1" si="91"/>
        <v>2750224.9562193714</v>
      </c>
      <c r="AH98" s="12">
        <f t="shared" ca="1" si="92"/>
        <v>2750224.9562193714</v>
      </c>
    </row>
    <row r="99" spans="2:34" x14ac:dyDescent="0.25">
      <c r="B99" s="6">
        <v>83</v>
      </c>
      <c r="D99" s="12">
        <f t="shared" ca="1" si="62"/>
        <v>201380.40230569488</v>
      </c>
      <c r="E99" s="12">
        <f t="shared" ca="1" si="63"/>
        <v>217409.57321546611</v>
      </c>
      <c r="F99" s="12">
        <f t="shared" ca="1" si="64"/>
        <v>292627.0362245749</v>
      </c>
      <c r="G99" s="12">
        <f t="shared" ca="1" si="65"/>
        <v>319922.48383248376</v>
      </c>
      <c r="H99" s="12">
        <f t="shared" ca="1" si="66"/>
        <v>396975.02632068406</v>
      </c>
      <c r="I99" s="12">
        <f t="shared" ca="1" si="67"/>
        <v>408326.53646491456</v>
      </c>
      <c r="J99" s="12">
        <f t="shared" ca="1" si="68"/>
        <v>502548.32574609958</v>
      </c>
      <c r="K99" s="12">
        <f t="shared" ca="1" si="69"/>
        <v>516626.04109154677</v>
      </c>
      <c r="L99" s="12">
        <f t="shared" ca="1" si="70"/>
        <v>576992.76838731952</v>
      </c>
      <c r="M99" s="12">
        <f t="shared" ca="1" si="71"/>
        <v>585846.12012806768</v>
      </c>
      <c r="N99" s="12">
        <f t="shared" ca="1" si="72"/>
        <v>708499.40154101036</v>
      </c>
      <c r="O99" s="12">
        <f t="shared" ca="1" si="73"/>
        <v>656741.87070617988</v>
      </c>
      <c r="P99" s="12">
        <f t="shared" ca="1" si="74"/>
        <v>778821.74341738177</v>
      </c>
      <c r="Q99" s="12">
        <f t="shared" ca="1" si="75"/>
        <v>753334.67421373946</v>
      </c>
      <c r="R99" s="12">
        <f t="shared" ca="1" si="76"/>
        <v>830372.95552080183</v>
      </c>
      <c r="S99" s="12">
        <f t="shared" ca="1" si="77"/>
        <v>903696.2410331188</v>
      </c>
      <c r="T99" s="12">
        <f t="shared" ca="1" si="78"/>
        <v>909646.89295817376</v>
      </c>
      <c r="U99" s="12">
        <f t="shared" ca="1" si="79"/>
        <v>1000048.7774642695</v>
      </c>
      <c r="V99" s="12">
        <f t="shared" ca="1" si="80"/>
        <v>1117614.7202672383</v>
      </c>
      <c r="W99" s="12">
        <f t="shared" ca="1" si="81"/>
        <v>1153676.5305621149</v>
      </c>
      <c r="X99" s="12">
        <f t="shared" ca="1" si="82"/>
        <v>1380755.819584548</v>
      </c>
      <c r="Y99" s="12">
        <f t="shared" ca="1" si="83"/>
        <v>1523672.3576280661</v>
      </c>
      <c r="Z99" s="12">
        <f t="shared" ca="1" si="84"/>
        <v>1688227.9687796049</v>
      </c>
      <c r="AA99" s="12">
        <f t="shared" ca="1" si="85"/>
        <v>1931419.4665316548</v>
      </c>
      <c r="AB99" s="12">
        <f t="shared" ca="1" si="86"/>
        <v>2201255.0069067152</v>
      </c>
      <c r="AC99" s="12">
        <f t="shared" ca="1" si="87"/>
        <v>2776761.4191084164</v>
      </c>
      <c r="AD99" s="12">
        <f t="shared" ca="1" si="88"/>
        <v>2354032.5861611413</v>
      </c>
      <c r="AE99" s="12">
        <f t="shared" ca="1" si="89"/>
        <v>2964464.5995253604</v>
      </c>
      <c r="AF99" s="12">
        <f t="shared" ca="1" si="90"/>
        <v>2593511.5835130215</v>
      </c>
      <c r="AG99" s="12">
        <f t="shared" ca="1" si="91"/>
        <v>2537595.7758586337</v>
      </c>
      <c r="AH99" s="12">
        <f t="shared" ca="1" si="92"/>
        <v>2537595.7758586337</v>
      </c>
    </row>
    <row r="100" spans="2:34" x14ac:dyDescent="0.25">
      <c r="B100" s="6">
        <v>84</v>
      </c>
      <c r="D100" s="12">
        <f t="shared" ca="1" si="62"/>
        <v>187207.3697095814</v>
      </c>
      <c r="E100" s="12">
        <f t="shared" ca="1" si="63"/>
        <v>207529.99407478003</v>
      </c>
      <c r="F100" s="12">
        <f t="shared" ca="1" si="64"/>
        <v>257463.47284428583</v>
      </c>
      <c r="G100" s="12">
        <f t="shared" ca="1" si="65"/>
        <v>280463.31042506412</v>
      </c>
      <c r="H100" s="12">
        <f t="shared" ca="1" si="66"/>
        <v>318673.69368647941</v>
      </c>
      <c r="I100" s="12">
        <f t="shared" ca="1" si="67"/>
        <v>391142.17050951399</v>
      </c>
      <c r="J100" s="12">
        <f t="shared" ca="1" si="68"/>
        <v>424548.28278948582</v>
      </c>
      <c r="K100" s="12">
        <f t="shared" ca="1" si="69"/>
        <v>508175.40322468046</v>
      </c>
      <c r="L100" s="12">
        <f t="shared" ca="1" si="70"/>
        <v>463722.79526541085</v>
      </c>
      <c r="M100" s="12">
        <f t="shared" ca="1" si="71"/>
        <v>569142.14188576874</v>
      </c>
      <c r="N100" s="12">
        <f t="shared" ca="1" si="72"/>
        <v>635319.9746129408</v>
      </c>
      <c r="O100" s="12">
        <f t="shared" ca="1" si="73"/>
        <v>648204.45853582863</v>
      </c>
      <c r="P100" s="12">
        <f t="shared" ca="1" si="74"/>
        <v>689524.91332823585</v>
      </c>
      <c r="Q100" s="12">
        <f t="shared" ca="1" si="75"/>
        <v>719745.57224940462</v>
      </c>
      <c r="R100" s="12">
        <f t="shared" ca="1" si="76"/>
        <v>929772.03141159297</v>
      </c>
      <c r="S100" s="12">
        <f t="shared" ca="1" si="77"/>
        <v>827340.12277978717</v>
      </c>
      <c r="T100" s="12">
        <f t="shared" ca="1" si="78"/>
        <v>958235.40974203369</v>
      </c>
      <c r="U100" s="12">
        <f t="shared" ca="1" si="79"/>
        <v>1074600.6330915098</v>
      </c>
      <c r="V100" s="12">
        <f t="shared" ca="1" si="80"/>
        <v>1166893.9495380984</v>
      </c>
      <c r="W100" s="12">
        <f t="shared" ca="1" si="81"/>
        <v>1166169.5928113093</v>
      </c>
      <c r="X100" s="12">
        <f t="shared" ca="1" si="82"/>
        <v>1460008.2214070202</v>
      </c>
      <c r="Y100" s="12">
        <f t="shared" ca="1" si="83"/>
        <v>1503862.9502078195</v>
      </c>
      <c r="Z100" s="12">
        <f t="shared" ca="1" si="84"/>
        <v>1690346.0873325549</v>
      </c>
      <c r="AA100" s="12">
        <f t="shared" ca="1" si="85"/>
        <v>2098794.0742059485</v>
      </c>
      <c r="AB100" s="12">
        <f t="shared" ca="1" si="86"/>
        <v>2514459.7198597165</v>
      </c>
      <c r="AC100" s="12">
        <f t="shared" ca="1" si="87"/>
        <v>2402951.0674527087</v>
      </c>
      <c r="AD100" s="12">
        <f t="shared" ca="1" si="88"/>
        <v>2205178.6518246988</v>
      </c>
      <c r="AE100" s="12">
        <f t="shared" ca="1" si="89"/>
        <v>2641468.7174782609</v>
      </c>
      <c r="AF100" s="12">
        <f t="shared" ca="1" si="90"/>
        <v>3280591.8248127829</v>
      </c>
      <c r="AG100" s="12">
        <f t="shared" ca="1" si="91"/>
        <v>3180184.7705817176</v>
      </c>
      <c r="AH100" s="12">
        <f t="shared" ca="1" si="92"/>
        <v>3180184.7705817176</v>
      </c>
    </row>
    <row r="101" spans="2:34" x14ac:dyDescent="0.25">
      <c r="B101" s="6">
        <v>85</v>
      </c>
      <c r="D101" s="12">
        <f t="shared" ca="1" si="62"/>
        <v>193685.97858042354</v>
      </c>
      <c r="E101" s="12">
        <f t="shared" ca="1" si="63"/>
        <v>205492.45243927679</v>
      </c>
      <c r="F101" s="12">
        <f t="shared" ca="1" si="64"/>
        <v>215665.98998478634</v>
      </c>
      <c r="G101" s="12">
        <f t="shared" ca="1" si="65"/>
        <v>290652.76119854668</v>
      </c>
      <c r="H101" s="12">
        <f t="shared" ca="1" si="66"/>
        <v>300066.60389750719</v>
      </c>
      <c r="I101" s="12">
        <f t="shared" ca="1" si="67"/>
        <v>317765.00544808561</v>
      </c>
      <c r="J101" s="12">
        <f t="shared" ca="1" si="68"/>
        <v>344250.13891357131</v>
      </c>
      <c r="K101" s="12">
        <f t="shared" ca="1" si="69"/>
        <v>404491.99651118298</v>
      </c>
      <c r="L101" s="12">
        <f t="shared" ca="1" si="70"/>
        <v>521107.24670528888</v>
      </c>
      <c r="M101" s="12">
        <f t="shared" ca="1" si="71"/>
        <v>515098.77028901275</v>
      </c>
      <c r="N101" s="12">
        <f t="shared" ca="1" si="72"/>
        <v>494889.26583529316</v>
      </c>
      <c r="O101" s="12">
        <f t="shared" ca="1" si="73"/>
        <v>579388.95643439936</v>
      </c>
      <c r="P101" s="12">
        <f t="shared" ca="1" si="74"/>
        <v>603423.72075647325</v>
      </c>
      <c r="Q101" s="12">
        <f t="shared" ca="1" si="75"/>
        <v>677076.59387752262</v>
      </c>
      <c r="R101" s="12">
        <f t="shared" ca="1" si="76"/>
        <v>710297.35211136565</v>
      </c>
      <c r="S101" s="12">
        <f t="shared" ca="1" si="77"/>
        <v>783909.80946019094</v>
      </c>
      <c r="T101" s="12">
        <f t="shared" ca="1" si="78"/>
        <v>964779.52376062714</v>
      </c>
      <c r="U101" s="12">
        <f t="shared" ca="1" si="79"/>
        <v>856011.5957403389</v>
      </c>
      <c r="V101" s="12">
        <f t="shared" ca="1" si="80"/>
        <v>862097.45255004114</v>
      </c>
      <c r="W101" s="12">
        <f t="shared" ca="1" si="81"/>
        <v>1005049.4184347637</v>
      </c>
      <c r="X101" s="12">
        <f t="shared" ca="1" si="82"/>
        <v>1010496.2265051999</v>
      </c>
      <c r="Y101" s="12">
        <f t="shared" ca="1" si="83"/>
        <v>1188115.2056413374</v>
      </c>
      <c r="Z101" s="12">
        <f t="shared" ca="1" si="84"/>
        <v>1135914.1164558474</v>
      </c>
      <c r="AA101" s="12">
        <f t="shared" ca="1" si="85"/>
        <v>1438883.3044117403</v>
      </c>
      <c r="AB101" s="12">
        <f t="shared" ca="1" si="86"/>
        <v>1634037.6299199357</v>
      </c>
      <c r="AC101" s="12">
        <f t="shared" ca="1" si="87"/>
        <v>2189656.9910293939</v>
      </c>
      <c r="AD101" s="12">
        <f t="shared" ca="1" si="88"/>
        <v>2467124.6857652739</v>
      </c>
      <c r="AE101" s="12">
        <f t="shared" ca="1" si="89"/>
        <v>2471230.3861854449</v>
      </c>
      <c r="AF101" s="12">
        <f t="shared" ca="1" si="90"/>
        <v>2712826.5089165587</v>
      </c>
      <c r="AG101" s="12">
        <f t="shared" ca="1" si="91"/>
        <v>2723539.5164931933</v>
      </c>
      <c r="AH101" s="12">
        <f t="shared" ca="1" si="92"/>
        <v>2723539.5164931933</v>
      </c>
    </row>
    <row r="102" spans="2:34" x14ac:dyDescent="0.25">
      <c r="B102" s="6">
        <v>86</v>
      </c>
      <c r="D102" s="12">
        <f t="shared" ca="1" si="62"/>
        <v>207960.92654504371</v>
      </c>
      <c r="E102" s="12">
        <f t="shared" ca="1" si="63"/>
        <v>246218.02709717461</v>
      </c>
      <c r="F102" s="12">
        <f t="shared" ca="1" si="64"/>
        <v>285213.05097502389</v>
      </c>
      <c r="G102" s="12">
        <f t="shared" ca="1" si="65"/>
        <v>317541.59964252193</v>
      </c>
      <c r="H102" s="12">
        <f t="shared" ca="1" si="66"/>
        <v>389024.89095523825</v>
      </c>
      <c r="I102" s="12">
        <f t="shared" ca="1" si="67"/>
        <v>363856.41786115308</v>
      </c>
      <c r="J102" s="12">
        <f t="shared" ca="1" si="68"/>
        <v>320801.04500226345</v>
      </c>
      <c r="K102" s="12">
        <f t="shared" ca="1" si="69"/>
        <v>436753.5113057784</v>
      </c>
      <c r="L102" s="12">
        <f t="shared" ca="1" si="70"/>
        <v>428655.68987033999</v>
      </c>
      <c r="M102" s="12">
        <f t="shared" ca="1" si="71"/>
        <v>515487.62969993037</v>
      </c>
      <c r="N102" s="12">
        <f t="shared" ca="1" si="72"/>
        <v>604859.54754016455</v>
      </c>
      <c r="O102" s="12">
        <f t="shared" ca="1" si="73"/>
        <v>570199.01181157096</v>
      </c>
      <c r="P102" s="12">
        <f t="shared" ca="1" si="74"/>
        <v>684199.64904602431</v>
      </c>
      <c r="Q102" s="12">
        <f t="shared" ca="1" si="75"/>
        <v>779794.66517171403</v>
      </c>
      <c r="R102" s="12">
        <f t="shared" ca="1" si="76"/>
        <v>713823.16490449477</v>
      </c>
      <c r="S102" s="12">
        <f t="shared" ca="1" si="77"/>
        <v>857664.96090801922</v>
      </c>
      <c r="T102" s="12">
        <f t="shared" ca="1" si="78"/>
        <v>970872.91694729333</v>
      </c>
      <c r="U102" s="12">
        <f t="shared" ca="1" si="79"/>
        <v>1126501.2122759137</v>
      </c>
      <c r="V102" s="12">
        <f t="shared" ca="1" si="80"/>
        <v>1208565.5250333538</v>
      </c>
      <c r="W102" s="12">
        <f t="shared" ca="1" si="81"/>
        <v>1230339.9588971976</v>
      </c>
      <c r="X102" s="12">
        <f t="shared" ca="1" si="82"/>
        <v>1080772.3468440503</v>
      </c>
      <c r="Y102" s="12">
        <f t="shared" ca="1" si="83"/>
        <v>1256185.4260416389</v>
      </c>
      <c r="Z102" s="12">
        <f t="shared" ca="1" si="84"/>
        <v>1360293.883918979</v>
      </c>
      <c r="AA102" s="12">
        <f t="shared" ca="1" si="85"/>
        <v>1540778.6437899191</v>
      </c>
      <c r="AB102" s="12">
        <f t="shared" ca="1" si="86"/>
        <v>1629484.0012100809</v>
      </c>
      <c r="AC102" s="12">
        <f t="shared" ca="1" si="87"/>
        <v>1682151.3486685965</v>
      </c>
      <c r="AD102" s="12">
        <f t="shared" ca="1" si="88"/>
        <v>2030429.9711828337</v>
      </c>
      <c r="AE102" s="12">
        <f t="shared" ca="1" si="89"/>
        <v>1918882.9001365465</v>
      </c>
      <c r="AF102" s="12">
        <f t="shared" ca="1" si="90"/>
        <v>2209427.0840074709</v>
      </c>
      <c r="AG102" s="12">
        <f t="shared" ca="1" si="91"/>
        <v>2739575.6818083329</v>
      </c>
      <c r="AH102" s="12">
        <f t="shared" ca="1" si="92"/>
        <v>2739575.6818083329</v>
      </c>
    </row>
    <row r="103" spans="2:34" x14ac:dyDescent="0.25">
      <c r="B103" s="6">
        <v>87</v>
      </c>
      <c r="D103" s="12">
        <f t="shared" ca="1" si="62"/>
        <v>192416.28801294154</v>
      </c>
      <c r="E103" s="12">
        <f t="shared" ca="1" si="63"/>
        <v>200186.62853404426</v>
      </c>
      <c r="F103" s="12">
        <f t="shared" ca="1" si="64"/>
        <v>225986.96454090087</v>
      </c>
      <c r="G103" s="12">
        <f t="shared" ca="1" si="65"/>
        <v>251880.54424860535</v>
      </c>
      <c r="H103" s="12">
        <f t="shared" ca="1" si="66"/>
        <v>290317.24084749736</v>
      </c>
      <c r="I103" s="12">
        <f t="shared" ca="1" si="67"/>
        <v>293408.44578002946</v>
      </c>
      <c r="J103" s="12">
        <f t="shared" ca="1" si="68"/>
        <v>338344.99871104088</v>
      </c>
      <c r="K103" s="12">
        <f t="shared" ca="1" si="69"/>
        <v>406682.66123969812</v>
      </c>
      <c r="L103" s="12">
        <f t="shared" ca="1" si="70"/>
        <v>457810.66770210507</v>
      </c>
      <c r="M103" s="12">
        <f t="shared" ca="1" si="71"/>
        <v>552203.90089684236</v>
      </c>
      <c r="N103" s="12">
        <f t="shared" ca="1" si="72"/>
        <v>472405.83774201351</v>
      </c>
      <c r="O103" s="12">
        <f t="shared" ca="1" si="73"/>
        <v>506354.78574819386</v>
      </c>
      <c r="P103" s="12">
        <f t="shared" ca="1" si="74"/>
        <v>431654.14589008235</v>
      </c>
      <c r="Q103" s="12">
        <f t="shared" ca="1" si="75"/>
        <v>468810.93307372573</v>
      </c>
      <c r="R103" s="12">
        <f t="shared" ca="1" si="76"/>
        <v>530388.19443233148</v>
      </c>
      <c r="S103" s="12">
        <f t="shared" ca="1" si="77"/>
        <v>663519.11443414853</v>
      </c>
      <c r="T103" s="12">
        <f t="shared" ca="1" si="78"/>
        <v>773440.71927320305</v>
      </c>
      <c r="U103" s="12">
        <f t="shared" ca="1" si="79"/>
        <v>787087.60696896014</v>
      </c>
      <c r="V103" s="12">
        <f t="shared" ca="1" si="80"/>
        <v>871485.22321934334</v>
      </c>
      <c r="W103" s="12">
        <f t="shared" ca="1" si="81"/>
        <v>1167018.8795896287</v>
      </c>
      <c r="X103" s="12">
        <f t="shared" ca="1" si="82"/>
        <v>1274569.8328211291</v>
      </c>
      <c r="Y103" s="12">
        <f t="shared" ca="1" si="83"/>
        <v>1306654.0654448881</v>
      </c>
      <c r="Z103" s="12">
        <f t="shared" ca="1" si="84"/>
        <v>1552778.1316119682</v>
      </c>
      <c r="AA103" s="12">
        <f t="shared" ca="1" si="85"/>
        <v>1835810.5259295134</v>
      </c>
      <c r="AB103" s="12">
        <f t="shared" ca="1" si="86"/>
        <v>2174725.0612900136</v>
      </c>
      <c r="AC103" s="12">
        <f t="shared" ca="1" si="87"/>
        <v>2288337.7324525556</v>
      </c>
      <c r="AD103" s="12">
        <f t="shared" ca="1" si="88"/>
        <v>3012408.8368803184</v>
      </c>
      <c r="AE103" s="12">
        <f t="shared" ca="1" si="89"/>
        <v>3103331.7244194611</v>
      </c>
      <c r="AF103" s="12">
        <f t="shared" ca="1" si="90"/>
        <v>3275554.3590290933</v>
      </c>
      <c r="AG103" s="12">
        <f t="shared" ca="1" si="91"/>
        <v>3379738.5285992594</v>
      </c>
      <c r="AH103" s="12">
        <f t="shared" ca="1" si="92"/>
        <v>3379738.5285992594</v>
      </c>
    </row>
    <row r="104" spans="2:34" x14ac:dyDescent="0.25">
      <c r="B104" s="6">
        <v>88</v>
      </c>
      <c r="D104" s="12">
        <f t="shared" ca="1" si="62"/>
        <v>188960.98733507414</v>
      </c>
      <c r="E104" s="12">
        <f t="shared" ca="1" si="63"/>
        <v>216122.98312647245</v>
      </c>
      <c r="F104" s="12">
        <f t="shared" ca="1" si="64"/>
        <v>249417.51033588705</v>
      </c>
      <c r="G104" s="12">
        <f t="shared" ca="1" si="65"/>
        <v>283185.19215949206</v>
      </c>
      <c r="H104" s="12">
        <f t="shared" ca="1" si="66"/>
        <v>372773.62300197303</v>
      </c>
      <c r="I104" s="12">
        <f t="shared" ca="1" si="67"/>
        <v>417025.61012765532</v>
      </c>
      <c r="J104" s="12">
        <f t="shared" ca="1" si="68"/>
        <v>502858.8122971991</v>
      </c>
      <c r="K104" s="12">
        <f t="shared" ca="1" si="69"/>
        <v>531535.34821158974</v>
      </c>
      <c r="L104" s="12">
        <f t="shared" ca="1" si="70"/>
        <v>554964.73282496817</v>
      </c>
      <c r="M104" s="12">
        <f t="shared" ca="1" si="71"/>
        <v>601198.39114026679</v>
      </c>
      <c r="N104" s="12">
        <f t="shared" ca="1" si="72"/>
        <v>600167.68253300642</v>
      </c>
      <c r="O104" s="12">
        <f t="shared" ca="1" si="73"/>
        <v>640907.09633436322</v>
      </c>
      <c r="P104" s="12">
        <f t="shared" ca="1" si="74"/>
        <v>730848.40910482092</v>
      </c>
      <c r="Q104" s="12">
        <f t="shared" ca="1" si="75"/>
        <v>855949.75803371088</v>
      </c>
      <c r="R104" s="12">
        <f t="shared" ca="1" si="76"/>
        <v>1012648.0420019495</v>
      </c>
      <c r="S104" s="12">
        <f t="shared" ca="1" si="77"/>
        <v>1143935.6638109614</v>
      </c>
      <c r="T104" s="12">
        <f t="shared" ca="1" si="78"/>
        <v>1300078.6052800724</v>
      </c>
      <c r="U104" s="12">
        <f t="shared" ca="1" si="79"/>
        <v>1332762.7398442766</v>
      </c>
      <c r="V104" s="12">
        <f t="shared" ca="1" si="80"/>
        <v>1511109.5071912464</v>
      </c>
      <c r="W104" s="12">
        <f t="shared" ca="1" si="81"/>
        <v>1501732.4460261075</v>
      </c>
      <c r="X104" s="12">
        <f t="shared" ca="1" si="82"/>
        <v>1664663.8545623724</v>
      </c>
      <c r="Y104" s="12">
        <f t="shared" ca="1" si="83"/>
        <v>1721006.1956834937</v>
      </c>
      <c r="Z104" s="12">
        <f t="shared" ca="1" si="84"/>
        <v>1983468.1648479293</v>
      </c>
      <c r="AA104" s="12">
        <f t="shared" ca="1" si="85"/>
        <v>2559841.6123295417</v>
      </c>
      <c r="AB104" s="12">
        <f t="shared" ca="1" si="86"/>
        <v>2908586.3832895951</v>
      </c>
      <c r="AC104" s="12">
        <f t="shared" ca="1" si="87"/>
        <v>3172665.5460336041</v>
      </c>
      <c r="AD104" s="12">
        <f t="shared" ca="1" si="88"/>
        <v>3659829.597511204</v>
      </c>
      <c r="AE104" s="12">
        <f t="shared" ca="1" si="89"/>
        <v>3876305.7201720169</v>
      </c>
      <c r="AF104" s="12">
        <f t="shared" ca="1" si="90"/>
        <v>3806795.957714397</v>
      </c>
      <c r="AG104" s="12">
        <f t="shared" ca="1" si="91"/>
        <v>4136666.056363936</v>
      </c>
      <c r="AH104" s="12">
        <f t="shared" ca="1" si="92"/>
        <v>4136666.056363936</v>
      </c>
    </row>
    <row r="105" spans="2:34" x14ac:dyDescent="0.25">
      <c r="B105" s="6">
        <v>89</v>
      </c>
      <c r="D105" s="12">
        <f t="shared" ca="1" si="62"/>
        <v>175086.39456029673</v>
      </c>
      <c r="E105" s="12">
        <f t="shared" ca="1" si="63"/>
        <v>196275.88130706304</v>
      </c>
      <c r="F105" s="12">
        <f t="shared" ca="1" si="64"/>
        <v>210687.85183640584</v>
      </c>
      <c r="G105" s="12">
        <f t="shared" ca="1" si="65"/>
        <v>269245.37854938646</v>
      </c>
      <c r="H105" s="12">
        <f t="shared" ca="1" si="66"/>
        <v>247831.28230294414</v>
      </c>
      <c r="I105" s="12">
        <f t="shared" ca="1" si="67"/>
        <v>267380.98324228544</v>
      </c>
      <c r="J105" s="12">
        <f t="shared" ca="1" si="68"/>
        <v>286289.60282804881</v>
      </c>
      <c r="K105" s="12">
        <f t="shared" ca="1" si="69"/>
        <v>310536.36532063578</v>
      </c>
      <c r="L105" s="12">
        <f t="shared" ca="1" si="70"/>
        <v>337988.03753806767</v>
      </c>
      <c r="M105" s="12">
        <f t="shared" ca="1" si="71"/>
        <v>421504.77969148429</v>
      </c>
      <c r="N105" s="12">
        <f t="shared" ca="1" si="72"/>
        <v>503069.44771935424</v>
      </c>
      <c r="O105" s="12">
        <f t="shared" ca="1" si="73"/>
        <v>610650.53681013512</v>
      </c>
      <c r="P105" s="12">
        <f t="shared" ca="1" si="74"/>
        <v>643582.08839563525</v>
      </c>
      <c r="Q105" s="12">
        <f t="shared" ca="1" si="75"/>
        <v>587958.55415971449</v>
      </c>
      <c r="R105" s="12">
        <f t="shared" ca="1" si="76"/>
        <v>713074.82039191457</v>
      </c>
      <c r="S105" s="12">
        <f t="shared" ca="1" si="77"/>
        <v>794673.81417799275</v>
      </c>
      <c r="T105" s="12">
        <f t="shared" ca="1" si="78"/>
        <v>773544.52162786131</v>
      </c>
      <c r="U105" s="12">
        <f t="shared" ca="1" si="79"/>
        <v>833776.49704700988</v>
      </c>
      <c r="V105" s="12">
        <f t="shared" ca="1" si="80"/>
        <v>821712.31786456623</v>
      </c>
      <c r="W105" s="12">
        <f t="shared" ca="1" si="81"/>
        <v>1094368.2682231378</v>
      </c>
      <c r="X105" s="12">
        <f t="shared" ca="1" si="82"/>
        <v>1087157.0127188603</v>
      </c>
      <c r="Y105" s="12">
        <f t="shared" ca="1" si="83"/>
        <v>1000614.8672874013</v>
      </c>
      <c r="Z105" s="12">
        <f t="shared" ca="1" si="84"/>
        <v>1254233.2890677203</v>
      </c>
      <c r="AA105" s="12">
        <f t="shared" ca="1" si="85"/>
        <v>1337663.3217023138</v>
      </c>
      <c r="AB105" s="12">
        <f t="shared" ca="1" si="86"/>
        <v>1477700.1007858512</v>
      </c>
      <c r="AC105" s="12">
        <f t="shared" ca="1" si="87"/>
        <v>1743798.772144502</v>
      </c>
      <c r="AD105" s="12">
        <f t="shared" ca="1" si="88"/>
        <v>1524782.2755576002</v>
      </c>
      <c r="AE105" s="12">
        <f t="shared" ca="1" si="89"/>
        <v>1934116.2097329181</v>
      </c>
      <c r="AF105" s="12">
        <f t="shared" ca="1" si="90"/>
        <v>2309741.0949451895</v>
      </c>
      <c r="AG105" s="12">
        <f t="shared" ca="1" si="91"/>
        <v>2248417.0046399427</v>
      </c>
      <c r="AH105" s="12">
        <f t="shared" ca="1" si="92"/>
        <v>2248417.0046399427</v>
      </c>
    </row>
    <row r="106" spans="2:34" x14ac:dyDescent="0.25">
      <c r="B106" s="6">
        <v>90</v>
      </c>
      <c r="D106" s="12">
        <f t="shared" ca="1" si="62"/>
        <v>196800.14378678284</v>
      </c>
      <c r="E106" s="12">
        <f t="shared" ca="1" si="63"/>
        <v>231939.08272701438</v>
      </c>
      <c r="F106" s="12">
        <f t="shared" ca="1" si="64"/>
        <v>222860.46353097254</v>
      </c>
      <c r="G106" s="12">
        <f t="shared" ca="1" si="65"/>
        <v>192815.89401967221</v>
      </c>
      <c r="H106" s="12">
        <f t="shared" ca="1" si="66"/>
        <v>195373.16281449664</v>
      </c>
      <c r="I106" s="12">
        <f t="shared" ca="1" si="67"/>
        <v>217735.3574247997</v>
      </c>
      <c r="J106" s="12">
        <f t="shared" ca="1" si="68"/>
        <v>281357.36728529434</v>
      </c>
      <c r="K106" s="12">
        <f t="shared" ca="1" si="69"/>
        <v>325477.74684493616</v>
      </c>
      <c r="L106" s="12">
        <f t="shared" ca="1" si="70"/>
        <v>326546.19530160766</v>
      </c>
      <c r="M106" s="12">
        <f t="shared" ca="1" si="71"/>
        <v>425923.38305943232</v>
      </c>
      <c r="N106" s="12">
        <f t="shared" ca="1" si="72"/>
        <v>420093.83343192766</v>
      </c>
      <c r="O106" s="12">
        <f t="shared" ca="1" si="73"/>
        <v>403642.85419125331</v>
      </c>
      <c r="P106" s="12">
        <f t="shared" ca="1" si="74"/>
        <v>390096.42039723892</v>
      </c>
      <c r="Q106" s="12">
        <f t="shared" ca="1" si="75"/>
        <v>466363.20916978305</v>
      </c>
      <c r="R106" s="12">
        <f t="shared" ca="1" si="76"/>
        <v>649401.46289465076</v>
      </c>
      <c r="S106" s="12">
        <f t="shared" ca="1" si="77"/>
        <v>613471.66365824663</v>
      </c>
      <c r="T106" s="12">
        <f t="shared" ca="1" si="78"/>
        <v>723881.54748164932</v>
      </c>
      <c r="U106" s="12">
        <f t="shared" ca="1" si="79"/>
        <v>600480.9120850917</v>
      </c>
      <c r="V106" s="12">
        <f t="shared" ca="1" si="80"/>
        <v>600914.44672157138</v>
      </c>
      <c r="W106" s="12">
        <f t="shared" ca="1" si="81"/>
        <v>674084.16268096305</v>
      </c>
      <c r="X106" s="12">
        <f t="shared" ca="1" si="82"/>
        <v>752666.7563068642</v>
      </c>
      <c r="Y106" s="12">
        <f t="shared" ca="1" si="83"/>
        <v>908599.23184004542</v>
      </c>
      <c r="Z106" s="12">
        <f t="shared" ca="1" si="84"/>
        <v>890317.62494089745</v>
      </c>
      <c r="AA106" s="12">
        <f t="shared" ca="1" si="85"/>
        <v>866972.81169754337</v>
      </c>
      <c r="AB106" s="12">
        <f t="shared" ca="1" si="86"/>
        <v>907039.72427508025</v>
      </c>
      <c r="AC106" s="12">
        <f t="shared" ca="1" si="87"/>
        <v>1154915.1752377343</v>
      </c>
      <c r="AD106" s="12">
        <f t="shared" ca="1" si="88"/>
        <v>1058819.3037329924</v>
      </c>
      <c r="AE106" s="12">
        <f t="shared" ca="1" si="89"/>
        <v>1036143.6059410721</v>
      </c>
      <c r="AF106" s="12">
        <f t="shared" ca="1" si="90"/>
        <v>1125646.507065397</v>
      </c>
      <c r="AG106" s="12">
        <f t="shared" ca="1" si="91"/>
        <v>1035251.0986742501</v>
      </c>
      <c r="AH106" s="12">
        <f t="shared" ca="1" si="92"/>
        <v>1035251.0986742501</v>
      </c>
    </row>
    <row r="107" spans="2:34" x14ac:dyDescent="0.25">
      <c r="B107" s="6">
        <v>91</v>
      </c>
      <c r="D107" s="12">
        <f t="shared" ca="1" si="62"/>
        <v>186859.97257790263</v>
      </c>
      <c r="E107" s="12">
        <f t="shared" ca="1" si="63"/>
        <v>227695.02026439004</v>
      </c>
      <c r="F107" s="12">
        <f t="shared" ca="1" si="64"/>
        <v>244353.20632322546</v>
      </c>
      <c r="G107" s="12">
        <f t="shared" ca="1" si="65"/>
        <v>272544.41697939252</v>
      </c>
      <c r="H107" s="12">
        <f t="shared" ca="1" si="66"/>
        <v>364473.14697680977</v>
      </c>
      <c r="I107" s="12">
        <f t="shared" ca="1" si="67"/>
        <v>438274.19131924433</v>
      </c>
      <c r="J107" s="12">
        <f t="shared" ca="1" si="68"/>
        <v>521087.05974046502</v>
      </c>
      <c r="K107" s="12">
        <f t="shared" ca="1" si="69"/>
        <v>527816.27248236805</v>
      </c>
      <c r="L107" s="12">
        <f t="shared" ca="1" si="70"/>
        <v>663120.20060862135</v>
      </c>
      <c r="M107" s="12">
        <f t="shared" ca="1" si="71"/>
        <v>838626.82790909929</v>
      </c>
      <c r="N107" s="12">
        <f t="shared" ca="1" si="72"/>
        <v>941368.36362288741</v>
      </c>
      <c r="O107" s="12">
        <f t="shared" ca="1" si="73"/>
        <v>1022077.6847543728</v>
      </c>
      <c r="P107" s="12">
        <f t="shared" ca="1" si="74"/>
        <v>1160496.0520908583</v>
      </c>
      <c r="Q107" s="12">
        <f t="shared" ca="1" si="75"/>
        <v>1229695.9257063123</v>
      </c>
      <c r="R107" s="12">
        <f t="shared" ca="1" si="76"/>
        <v>1353097.6988649336</v>
      </c>
      <c r="S107" s="12">
        <f t="shared" ca="1" si="77"/>
        <v>1298139.0289231844</v>
      </c>
      <c r="T107" s="12">
        <f t="shared" ca="1" si="78"/>
        <v>1546285.6580731806</v>
      </c>
      <c r="U107" s="12">
        <f t="shared" ca="1" si="79"/>
        <v>1715371.4707627269</v>
      </c>
      <c r="V107" s="12">
        <f t="shared" ca="1" si="80"/>
        <v>1988115.8431279333</v>
      </c>
      <c r="W107" s="12">
        <f t="shared" ca="1" si="81"/>
        <v>1883738.1405745454</v>
      </c>
      <c r="X107" s="12">
        <f t="shared" ca="1" si="82"/>
        <v>2344683.6101278802</v>
      </c>
      <c r="Y107" s="12">
        <f t="shared" ca="1" si="83"/>
        <v>2855964.935358197</v>
      </c>
      <c r="Z107" s="12">
        <f t="shared" ca="1" si="84"/>
        <v>3569067.3509620498</v>
      </c>
      <c r="AA107" s="12">
        <f t="shared" ca="1" si="85"/>
        <v>3685528.569851324</v>
      </c>
      <c r="AB107" s="12">
        <f t="shared" ca="1" si="86"/>
        <v>3565538.3128601797</v>
      </c>
      <c r="AC107" s="12">
        <f t="shared" ca="1" si="87"/>
        <v>3648157.1091087069</v>
      </c>
      <c r="AD107" s="12">
        <f t="shared" ca="1" si="88"/>
        <v>3993748.3324045446</v>
      </c>
      <c r="AE107" s="12">
        <f t="shared" ca="1" si="89"/>
        <v>3867889.2190585122</v>
      </c>
      <c r="AF107" s="12">
        <f t="shared" ca="1" si="90"/>
        <v>4108511.8207660741</v>
      </c>
      <c r="AG107" s="12">
        <f t="shared" ca="1" si="91"/>
        <v>4385538.1347570699</v>
      </c>
      <c r="AH107" s="12">
        <f t="shared" ca="1" si="92"/>
        <v>4385538.1347570699</v>
      </c>
    </row>
    <row r="108" spans="2:34" x14ac:dyDescent="0.25">
      <c r="B108" s="6">
        <v>92</v>
      </c>
      <c r="D108" s="12">
        <f t="shared" ca="1" si="62"/>
        <v>228575.90697094548</v>
      </c>
      <c r="E108" s="12">
        <f t="shared" ca="1" si="63"/>
        <v>276164.12429029134</v>
      </c>
      <c r="F108" s="12">
        <f t="shared" ca="1" si="64"/>
        <v>321328.78773474018</v>
      </c>
      <c r="G108" s="12">
        <f t="shared" ca="1" si="65"/>
        <v>328775.20111005241</v>
      </c>
      <c r="H108" s="12">
        <f t="shared" ca="1" si="66"/>
        <v>362628.51169101434</v>
      </c>
      <c r="I108" s="12">
        <f t="shared" ca="1" si="67"/>
        <v>456979.99023279222</v>
      </c>
      <c r="J108" s="12">
        <f t="shared" ca="1" si="68"/>
        <v>520386.05198765261</v>
      </c>
      <c r="K108" s="12">
        <f t="shared" ca="1" si="69"/>
        <v>592259.51206733088</v>
      </c>
      <c r="L108" s="12">
        <f t="shared" ca="1" si="70"/>
        <v>629591.99994587584</v>
      </c>
      <c r="M108" s="12">
        <f t="shared" ca="1" si="71"/>
        <v>636128.96304760803</v>
      </c>
      <c r="N108" s="12">
        <f t="shared" ca="1" si="72"/>
        <v>578829.24250105908</v>
      </c>
      <c r="O108" s="12">
        <f t="shared" ca="1" si="73"/>
        <v>513755.849569846</v>
      </c>
      <c r="P108" s="12">
        <f t="shared" ca="1" si="74"/>
        <v>551969.0630619888</v>
      </c>
      <c r="Q108" s="12">
        <f t="shared" ca="1" si="75"/>
        <v>657289.5692578865</v>
      </c>
      <c r="R108" s="12">
        <f t="shared" ca="1" si="76"/>
        <v>740347.2510596622</v>
      </c>
      <c r="S108" s="12">
        <f t="shared" ca="1" si="77"/>
        <v>745302.85747239634</v>
      </c>
      <c r="T108" s="12">
        <f t="shared" ca="1" si="78"/>
        <v>771049.11417813145</v>
      </c>
      <c r="U108" s="12">
        <f t="shared" ca="1" si="79"/>
        <v>905078.9043051817</v>
      </c>
      <c r="V108" s="12">
        <f t="shared" ca="1" si="80"/>
        <v>1054243.6267414538</v>
      </c>
      <c r="W108" s="12">
        <f t="shared" ca="1" si="81"/>
        <v>1063048.0624359369</v>
      </c>
      <c r="X108" s="12">
        <f t="shared" ca="1" si="82"/>
        <v>828142.37038702518</v>
      </c>
      <c r="Y108" s="12">
        <f t="shared" ca="1" si="83"/>
        <v>928787.43152551679</v>
      </c>
      <c r="Z108" s="12">
        <f t="shared" ca="1" si="84"/>
        <v>840934.2922807117</v>
      </c>
      <c r="AA108" s="12">
        <f t="shared" ca="1" si="85"/>
        <v>947531.84014231607</v>
      </c>
      <c r="AB108" s="12">
        <f t="shared" ca="1" si="86"/>
        <v>857425.14861842874</v>
      </c>
      <c r="AC108" s="12">
        <f t="shared" ca="1" si="87"/>
        <v>997276.5528382078</v>
      </c>
      <c r="AD108" s="12">
        <f t="shared" ca="1" si="88"/>
        <v>1307428.5366532265</v>
      </c>
      <c r="AE108" s="12">
        <f t="shared" ca="1" si="89"/>
        <v>1380365.4381297082</v>
      </c>
      <c r="AF108" s="12">
        <f t="shared" ca="1" si="90"/>
        <v>1457447.8812660938</v>
      </c>
      <c r="AG108" s="12">
        <f t="shared" ca="1" si="91"/>
        <v>1592946.3403925924</v>
      </c>
      <c r="AH108" s="12">
        <f t="shared" ca="1" si="92"/>
        <v>1592946.3403925924</v>
      </c>
    </row>
    <row r="109" spans="2:34" x14ac:dyDescent="0.25">
      <c r="B109" s="6">
        <v>93</v>
      </c>
      <c r="D109" s="12">
        <f t="shared" ca="1" si="62"/>
        <v>181697.46553994747</v>
      </c>
      <c r="E109" s="12">
        <f t="shared" ca="1" si="63"/>
        <v>246773.92524142709</v>
      </c>
      <c r="F109" s="12">
        <f t="shared" ca="1" si="64"/>
        <v>241624.55736290835</v>
      </c>
      <c r="G109" s="12">
        <f t="shared" ca="1" si="65"/>
        <v>236649.7975774628</v>
      </c>
      <c r="H109" s="12">
        <f t="shared" ca="1" si="66"/>
        <v>295762.00914922851</v>
      </c>
      <c r="I109" s="12">
        <f t="shared" ca="1" si="67"/>
        <v>388829.61796510092</v>
      </c>
      <c r="J109" s="12">
        <f t="shared" ca="1" si="68"/>
        <v>390357.87633183255</v>
      </c>
      <c r="K109" s="12">
        <f t="shared" ca="1" si="69"/>
        <v>423640.52590761369</v>
      </c>
      <c r="L109" s="12">
        <f t="shared" ca="1" si="70"/>
        <v>440590.70237368072</v>
      </c>
      <c r="M109" s="12">
        <f t="shared" ca="1" si="71"/>
        <v>479714.97868198447</v>
      </c>
      <c r="N109" s="12">
        <f t="shared" ca="1" si="72"/>
        <v>554535.22232681734</v>
      </c>
      <c r="O109" s="12">
        <f t="shared" ca="1" si="73"/>
        <v>562175.20345313451</v>
      </c>
      <c r="P109" s="12">
        <f t="shared" ca="1" si="74"/>
        <v>615041.01958004874</v>
      </c>
      <c r="Q109" s="12">
        <f t="shared" ca="1" si="75"/>
        <v>829809.61193276267</v>
      </c>
      <c r="R109" s="12">
        <f t="shared" ca="1" si="76"/>
        <v>950148.54781328479</v>
      </c>
      <c r="S109" s="12">
        <f t="shared" ca="1" si="77"/>
        <v>843740.92352323327</v>
      </c>
      <c r="T109" s="12">
        <f t="shared" ca="1" si="78"/>
        <v>1052949.1541597617</v>
      </c>
      <c r="U109" s="12">
        <f t="shared" ca="1" si="79"/>
        <v>1034080.9243634797</v>
      </c>
      <c r="V109" s="12">
        <f t="shared" ca="1" si="80"/>
        <v>1007284.795819131</v>
      </c>
      <c r="W109" s="12">
        <f t="shared" ca="1" si="81"/>
        <v>1043970.148525483</v>
      </c>
      <c r="X109" s="12">
        <f t="shared" ca="1" si="82"/>
        <v>1057937.0354748254</v>
      </c>
      <c r="Y109" s="12">
        <f t="shared" ca="1" si="83"/>
        <v>1104268.5226980646</v>
      </c>
      <c r="Z109" s="12">
        <f t="shared" ca="1" si="84"/>
        <v>1096640.6718671389</v>
      </c>
      <c r="AA109" s="12">
        <f t="shared" ca="1" si="85"/>
        <v>1108733.0264045619</v>
      </c>
      <c r="AB109" s="12">
        <f t="shared" ca="1" si="86"/>
        <v>1031949.7228120642</v>
      </c>
      <c r="AC109" s="12">
        <f t="shared" ca="1" si="87"/>
        <v>1251602.3407198265</v>
      </c>
      <c r="AD109" s="12">
        <f t="shared" ca="1" si="88"/>
        <v>1206578.3380841673</v>
      </c>
      <c r="AE109" s="12">
        <f t="shared" ca="1" si="89"/>
        <v>1439641.7688211179</v>
      </c>
      <c r="AF109" s="12">
        <f t="shared" ca="1" si="90"/>
        <v>1485445.5794843042</v>
      </c>
      <c r="AG109" s="12">
        <f t="shared" ca="1" si="91"/>
        <v>1655661.1079301727</v>
      </c>
      <c r="AH109" s="12">
        <f t="shared" ca="1" si="92"/>
        <v>1655661.1079301727</v>
      </c>
    </row>
    <row r="110" spans="2:34" x14ac:dyDescent="0.25">
      <c r="B110" s="6">
        <v>94</v>
      </c>
      <c r="D110" s="12">
        <f t="shared" ca="1" si="62"/>
        <v>193223.21647563195</v>
      </c>
      <c r="E110" s="12">
        <f t="shared" ca="1" si="63"/>
        <v>212442.04415686376</v>
      </c>
      <c r="F110" s="12">
        <f t="shared" ca="1" si="64"/>
        <v>230935.03175531325</v>
      </c>
      <c r="G110" s="12">
        <f t="shared" ca="1" si="65"/>
        <v>296841.70443225058</v>
      </c>
      <c r="H110" s="12">
        <f t="shared" ca="1" si="66"/>
        <v>289427.90624164464</v>
      </c>
      <c r="I110" s="12">
        <f t="shared" ca="1" si="67"/>
        <v>310209.790731279</v>
      </c>
      <c r="J110" s="12">
        <f t="shared" ca="1" si="68"/>
        <v>380136.95347884478</v>
      </c>
      <c r="K110" s="12">
        <f t="shared" ca="1" si="69"/>
        <v>449456.95600359672</v>
      </c>
      <c r="L110" s="12">
        <f t="shared" ca="1" si="70"/>
        <v>469305.74761361856</v>
      </c>
      <c r="M110" s="12">
        <f t="shared" ca="1" si="71"/>
        <v>515946.49520009902</v>
      </c>
      <c r="N110" s="12">
        <f t="shared" ca="1" si="72"/>
        <v>519844.04636452527</v>
      </c>
      <c r="O110" s="12">
        <f t="shared" ca="1" si="73"/>
        <v>627710.5933307549</v>
      </c>
      <c r="P110" s="12">
        <f t="shared" ca="1" si="74"/>
        <v>657900.02572696924</v>
      </c>
      <c r="Q110" s="12">
        <f t="shared" ca="1" si="75"/>
        <v>704927.99098890892</v>
      </c>
      <c r="R110" s="12">
        <f t="shared" ca="1" si="76"/>
        <v>733097.47734698316</v>
      </c>
      <c r="S110" s="12">
        <f t="shared" ca="1" si="77"/>
        <v>888958.14539362141</v>
      </c>
      <c r="T110" s="12">
        <f t="shared" ca="1" si="78"/>
        <v>908749.44710557081</v>
      </c>
      <c r="U110" s="12">
        <f t="shared" ca="1" si="79"/>
        <v>983102.76497921022</v>
      </c>
      <c r="V110" s="12">
        <f t="shared" ca="1" si="80"/>
        <v>1069096.8313400508</v>
      </c>
      <c r="W110" s="12">
        <f t="shared" ca="1" si="81"/>
        <v>1345035.7565790885</v>
      </c>
      <c r="X110" s="12">
        <f t="shared" ca="1" si="82"/>
        <v>1580836.3813295485</v>
      </c>
      <c r="Y110" s="12">
        <f t="shared" ca="1" si="83"/>
        <v>1523223.8556425595</v>
      </c>
      <c r="Z110" s="12">
        <f t="shared" ca="1" si="84"/>
        <v>1436519.9507521135</v>
      </c>
      <c r="AA110" s="12">
        <f t="shared" ca="1" si="85"/>
        <v>1397261.7458548511</v>
      </c>
      <c r="AB110" s="12">
        <f t="shared" ca="1" si="86"/>
        <v>1570739.0678072302</v>
      </c>
      <c r="AC110" s="12">
        <f t="shared" ca="1" si="87"/>
        <v>1513718.8542024565</v>
      </c>
      <c r="AD110" s="12">
        <f t="shared" ca="1" si="88"/>
        <v>1543759.6371450396</v>
      </c>
      <c r="AE110" s="12">
        <f t="shared" ca="1" si="89"/>
        <v>1719693.2375773988</v>
      </c>
      <c r="AF110" s="12">
        <f t="shared" ca="1" si="90"/>
        <v>1369092.9003926115</v>
      </c>
      <c r="AG110" s="12">
        <f t="shared" ca="1" si="91"/>
        <v>1531787.8113723223</v>
      </c>
      <c r="AH110" s="12">
        <f t="shared" ca="1" si="92"/>
        <v>1531787.8113723223</v>
      </c>
    </row>
    <row r="111" spans="2:34" x14ac:dyDescent="0.25">
      <c r="B111" s="6">
        <v>95</v>
      </c>
      <c r="D111" s="12">
        <f t="shared" ca="1" si="62"/>
        <v>192093.69217555251</v>
      </c>
      <c r="E111" s="12">
        <f t="shared" ca="1" si="63"/>
        <v>227153.0785824107</v>
      </c>
      <c r="F111" s="12">
        <f t="shared" ca="1" si="64"/>
        <v>272188.01179199276</v>
      </c>
      <c r="G111" s="12">
        <f t="shared" ca="1" si="65"/>
        <v>305176.16339975048</v>
      </c>
      <c r="H111" s="12">
        <f t="shared" ca="1" si="66"/>
        <v>403341.50987802877</v>
      </c>
      <c r="I111" s="12">
        <f t="shared" ca="1" si="67"/>
        <v>450427.20643344853</v>
      </c>
      <c r="J111" s="12">
        <f t="shared" ca="1" si="68"/>
        <v>384915.86092122993</v>
      </c>
      <c r="K111" s="12">
        <f t="shared" ca="1" si="69"/>
        <v>396290.14779730799</v>
      </c>
      <c r="L111" s="12">
        <f t="shared" ca="1" si="70"/>
        <v>450740.59464016464</v>
      </c>
      <c r="M111" s="12">
        <f t="shared" ca="1" si="71"/>
        <v>515240.80728187534</v>
      </c>
      <c r="N111" s="12">
        <f t="shared" ca="1" si="72"/>
        <v>612165.27780082892</v>
      </c>
      <c r="O111" s="12">
        <f t="shared" ca="1" si="73"/>
        <v>661544.20704078511</v>
      </c>
      <c r="P111" s="12">
        <f t="shared" ca="1" si="74"/>
        <v>636636.3727623336</v>
      </c>
      <c r="Q111" s="12">
        <f t="shared" ca="1" si="75"/>
        <v>575733.08422119252</v>
      </c>
      <c r="R111" s="12">
        <f t="shared" ca="1" si="76"/>
        <v>609944.17812824319</v>
      </c>
      <c r="S111" s="12">
        <f t="shared" ca="1" si="77"/>
        <v>668564.76841951325</v>
      </c>
      <c r="T111" s="12">
        <f t="shared" ca="1" si="78"/>
        <v>754611.73263900983</v>
      </c>
      <c r="U111" s="12">
        <f t="shared" ca="1" si="79"/>
        <v>737325.28916994028</v>
      </c>
      <c r="V111" s="12">
        <f t="shared" ca="1" si="80"/>
        <v>933540.22561613389</v>
      </c>
      <c r="W111" s="12">
        <f t="shared" ca="1" si="81"/>
        <v>994993.0612947708</v>
      </c>
      <c r="X111" s="12">
        <f t="shared" ca="1" si="82"/>
        <v>1251663.010279967</v>
      </c>
      <c r="Y111" s="12">
        <f t="shared" ca="1" si="83"/>
        <v>1296401.2296189463</v>
      </c>
      <c r="Z111" s="12">
        <f t="shared" ca="1" si="84"/>
        <v>1249662.7843670375</v>
      </c>
      <c r="AA111" s="12">
        <f t="shared" ca="1" si="85"/>
        <v>1234147.81809697</v>
      </c>
      <c r="AB111" s="12">
        <f t="shared" ca="1" si="86"/>
        <v>1436335.8574558115</v>
      </c>
      <c r="AC111" s="12">
        <f t="shared" ca="1" si="87"/>
        <v>1428065.31060477</v>
      </c>
      <c r="AD111" s="12">
        <f t="shared" ca="1" si="88"/>
        <v>1413887.1466973864</v>
      </c>
      <c r="AE111" s="12">
        <f t="shared" ca="1" si="89"/>
        <v>1547682.0742824916</v>
      </c>
      <c r="AF111" s="12">
        <f t="shared" ca="1" si="90"/>
        <v>1851739.2625011576</v>
      </c>
      <c r="AG111" s="12">
        <f t="shared" ca="1" si="91"/>
        <v>1879240.8928818509</v>
      </c>
      <c r="AH111" s="12">
        <f t="shared" ca="1" si="92"/>
        <v>1879240.8928818509</v>
      </c>
    </row>
    <row r="112" spans="2:34" x14ac:dyDescent="0.25">
      <c r="B112" s="6">
        <v>96</v>
      </c>
      <c r="D112" s="12">
        <f t="shared" ca="1" si="62"/>
        <v>167801.00263111159</v>
      </c>
      <c r="E112" s="12">
        <f t="shared" ca="1" si="63"/>
        <v>202937.08410682873</v>
      </c>
      <c r="F112" s="12">
        <f t="shared" ca="1" si="64"/>
        <v>198035.99370032799</v>
      </c>
      <c r="G112" s="12">
        <f t="shared" ca="1" si="65"/>
        <v>207305.866263876</v>
      </c>
      <c r="H112" s="12">
        <f t="shared" ca="1" si="66"/>
        <v>214542.43053366366</v>
      </c>
      <c r="I112" s="12">
        <f t="shared" ca="1" si="67"/>
        <v>256152.58365767088</v>
      </c>
      <c r="J112" s="12">
        <f t="shared" ca="1" si="68"/>
        <v>306222.94660394796</v>
      </c>
      <c r="K112" s="12">
        <f t="shared" ca="1" si="69"/>
        <v>381813.95690966566</v>
      </c>
      <c r="L112" s="12">
        <f t="shared" ca="1" si="70"/>
        <v>375348.81020797382</v>
      </c>
      <c r="M112" s="12">
        <f t="shared" ca="1" si="71"/>
        <v>388158.51241037203</v>
      </c>
      <c r="N112" s="12">
        <f t="shared" ca="1" si="72"/>
        <v>441522.09780516679</v>
      </c>
      <c r="O112" s="12">
        <f t="shared" ca="1" si="73"/>
        <v>534942.15686760994</v>
      </c>
      <c r="P112" s="12">
        <f t="shared" ca="1" si="74"/>
        <v>618135.37126882898</v>
      </c>
      <c r="Q112" s="12">
        <f t="shared" ca="1" si="75"/>
        <v>558058.99841325171</v>
      </c>
      <c r="R112" s="12">
        <f t="shared" ca="1" si="76"/>
        <v>689141.37051832373</v>
      </c>
      <c r="S112" s="12">
        <f t="shared" ca="1" si="77"/>
        <v>742725.4956478338</v>
      </c>
      <c r="T112" s="12">
        <f t="shared" ca="1" si="78"/>
        <v>822741.16354863427</v>
      </c>
      <c r="U112" s="12">
        <f t="shared" ca="1" si="79"/>
        <v>854488.5525656807</v>
      </c>
      <c r="V112" s="12">
        <f t="shared" ca="1" si="80"/>
        <v>1051991.2604817275</v>
      </c>
      <c r="W112" s="12">
        <f t="shared" ca="1" si="81"/>
        <v>1279096.2895991399</v>
      </c>
      <c r="X112" s="12">
        <f t="shared" ca="1" si="82"/>
        <v>1106854.11389844</v>
      </c>
      <c r="Y112" s="12">
        <f t="shared" ca="1" si="83"/>
        <v>1050437.0897930835</v>
      </c>
      <c r="Z112" s="12">
        <f t="shared" ca="1" si="84"/>
        <v>977213.48843236978</v>
      </c>
      <c r="AA112" s="12">
        <f t="shared" ca="1" si="85"/>
        <v>1102136.5713385877</v>
      </c>
      <c r="AB112" s="12">
        <f t="shared" ca="1" si="86"/>
        <v>1130287.079774057</v>
      </c>
      <c r="AC112" s="12">
        <f t="shared" ca="1" si="87"/>
        <v>1257506.5362007162</v>
      </c>
      <c r="AD112" s="12">
        <f t="shared" ca="1" si="88"/>
        <v>1508402.972847482</v>
      </c>
      <c r="AE112" s="12">
        <f t="shared" ca="1" si="89"/>
        <v>1566129.3348041514</v>
      </c>
      <c r="AF112" s="12">
        <f t="shared" ca="1" si="90"/>
        <v>1653349.5904785756</v>
      </c>
      <c r="AG112" s="12">
        <f t="shared" ca="1" si="91"/>
        <v>2087327.7363057961</v>
      </c>
      <c r="AH112" s="12">
        <f t="shared" ca="1" si="92"/>
        <v>2087327.7363057961</v>
      </c>
    </row>
    <row r="113" spans="2:34" x14ac:dyDescent="0.25">
      <c r="B113" s="6">
        <v>97</v>
      </c>
      <c r="D113" s="12">
        <f t="shared" ref="D113:D144" ca="1" si="93">$C$5*(1+NORMINV(RAND(),$C$8,$C$9))+$C$6</f>
        <v>131392.66145416754</v>
      </c>
      <c r="E113" s="12">
        <f t="shared" ref="E113:E144" ca="1" si="94">D113*(1+NORMINV(RAND(),$C$8,$C$9))+$C$6*(1+$C$7)^1</f>
        <v>161774.33401846862</v>
      </c>
      <c r="F113" s="12">
        <f t="shared" ref="F113:F144" ca="1" si="95">E113*(1+NORMINV(RAND(),$C$8,$C$9))+$C$6*(1+$C$7)^2</f>
        <v>199352.03799150418</v>
      </c>
      <c r="G113" s="12">
        <f t="shared" ref="G113:G144" ca="1" si="96">F113*(1+NORMINV(RAND(),$C$8,$C$9))+$C$6*(1+$C$7)^3</f>
        <v>226199.64568037222</v>
      </c>
      <c r="H113" s="12">
        <f t="shared" ref="H113:H144" ca="1" si="97">G113*(1+NORMINV(RAND(),$C$8,$C$9))+$C$6*(1+$C$7)^4</f>
        <v>257050.04737054853</v>
      </c>
      <c r="I113" s="12">
        <f t="shared" ref="I113:I144" ca="1" si="98">H113*(1+NORMINV(RAND(),$C$8,$C$9))+$C$6*(1+$C$7)^5</f>
        <v>276682.53086275631</v>
      </c>
      <c r="J113" s="12">
        <f t="shared" ref="J113:J144" ca="1" si="99">I113*(1+NORMINV(RAND(),$C$8,$C$9))+$C$6*(1+$C$7)^6</f>
        <v>293660.89699400839</v>
      </c>
      <c r="K113" s="12">
        <f t="shared" ref="K113:K144" ca="1" si="100">J113*(1+NORMINV(RAND(),$C$8,$C$9))+$C$6*(1+$C$7)^7</f>
        <v>337974.24143116275</v>
      </c>
      <c r="L113" s="12">
        <f t="shared" ref="L113:L144" ca="1" si="101">K113*(1+NORMINV(RAND(),$C$8,$C$9))+$C$6*(1+$C$7)^8</f>
        <v>379141.26158461208</v>
      </c>
      <c r="M113" s="12">
        <f t="shared" ref="M113:M144" ca="1" si="102">L113*(1+NORMINV(RAND(),$C$8,$C$9))+$C$6*(1+$C$7)^9</f>
        <v>332794.0562070696</v>
      </c>
      <c r="N113" s="12">
        <f t="shared" ref="N113:N144" ca="1" si="103">M113*(1+NORMINV(RAND(),$C$8,$C$9))+$C$6*(1+$C$7)^10</f>
        <v>360787.12485382939</v>
      </c>
      <c r="O113" s="12">
        <f t="shared" ref="O113:O144" ca="1" si="104">N113*(1+NORMINV(RAND(),$C$8,$C$9))+$C$6*(1+$C$7)^11</f>
        <v>381847.48289711145</v>
      </c>
      <c r="P113" s="12">
        <f t="shared" ref="P113:P144" ca="1" si="105">O113*(1+NORMINV(RAND(),$C$8,$C$9))+$C$6*(1+$C$7)^12</f>
        <v>406521.62706942746</v>
      </c>
      <c r="Q113" s="12">
        <f t="shared" ref="Q113:Q144" ca="1" si="106">P113*(1+NORMINV(RAND(),$C$8,$C$9))+$C$6*(1+$C$7)^13</f>
        <v>449469.52629387914</v>
      </c>
      <c r="R113" s="12">
        <f t="shared" ref="R113:R144" ca="1" si="107">Q113*(1+NORMINV(RAND(),$C$8,$C$9))+$C$6*(1+$C$7)^14</f>
        <v>372842.18624745397</v>
      </c>
      <c r="S113" s="12">
        <f t="shared" ref="S113:S144" ca="1" si="108">R113*(1+NORMINV(RAND(),$C$8,$C$9))+$C$6*(1+$C$7)^15</f>
        <v>405493.22353040235</v>
      </c>
      <c r="T113" s="12">
        <f t="shared" ref="T113:T144" ca="1" si="109">S113*(1+NORMINV(RAND(),$C$8,$C$9))+$C$6*(1+$C$7)^16</f>
        <v>493335.13787417847</v>
      </c>
      <c r="U113" s="12">
        <f t="shared" ref="U113:U144" ca="1" si="110">T113*(1+NORMINV(RAND(),$C$8,$C$9))+$C$6*(1+$C$7)^17</f>
        <v>646507.26257173845</v>
      </c>
      <c r="V113" s="12">
        <f t="shared" ref="V113:V144" ca="1" si="111">U113*(1+NORMINV(RAND(),$C$8,$C$9))+$C$6*(1+$C$7)^18</f>
        <v>581770.86449069704</v>
      </c>
      <c r="W113" s="12">
        <f t="shared" ref="W113:W144" ca="1" si="112">V113*(1+NORMINV(RAND(),$C$8,$C$9))+$C$6*(1+$C$7)^19</f>
        <v>720115.9128193314</v>
      </c>
      <c r="X113" s="12">
        <f t="shared" ref="X113:X144" ca="1" si="113">W113*(1+NORMINV(RAND(),$C$8,$C$9))+$C$6*(1+$C$7)^20</f>
        <v>875673.10692222347</v>
      </c>
      <c r="Y113" s="12">
        <f t="shared" ref="Y113:Y144" ca="1" si="114">X113*(1+NORMINV(RAND(),$C$8,$C$9))+$C$6*(1+$C$7)^21</f>
        <v>1086274.5701586811</v>
      </c>
      <c r="Z113" s="12">
        <f t="shared" ref="Z113:Z144" ca="1" si="115">Y113*(1+NORMINV(RAND(),$C$8,$C$9))+$C$6*(1+$C$7)^22</f>
        <v>1109760.8769726101</v>
      </c>
      <c r="AA113" s="12">
        <f t="shared" ref="AA113:AA144" ca="1" si="116">Z113*(1+NORMINV(RAND(),$C$8,$C$9))+$C$6*(1+$C$7)^23</f>
        <v>1215894.6827818432</v>
      </c>
      <c r="AB113" s="12">
        <f t="shared" ref="AB113:AB144" ca="1" si="117">AA113*(1+NORMINV(RAND(),$C$8,$C$9))+$C$6*(1+$C$7)^24</f>
        <v>1336549.7302088609</v>
      </c>
      <c r="AC113" s="12">
        <f t="shared" ref="AC113:AC144" ca="1" si="118">AB113*(1+NORMINV(RAND(),$C$8,$C$9))+$C$6*(1+$C$7)^25</f>
        <v>1440227.9058910832</v>
      </c>
      <c r="AD113" s="12">
        <f t="shared" ref="AD113:AD144" ca="1" si="119">AC113*(1+NORMINV(RAND(),$C$8,$C$9))+$C$6*(1+$C$7)^26</f>
        <v>1424207.6918595475</v>
      </c>
      <c r="AE113" s="12">
        <f t="shared" ref="AE113:AE144" ca="1" si="120">AD113*(1+NORMINV(RAND(),$C$8,$C$9))+$C$6*(1+$C$7)^27</f>
        <v>1350835.1725671638</v>
      </c>
      <c r="AF113" s="12">
        <f t="shared" ref="AF113:AF144" ca="1" si="121">AE113*(1+NORMINV(RAND(),$C$8,$C$9))+$C$6*(1+$C$7)^28</f>
        <v>1507389.9163499682</v>
      </c>
      <c r="AG113" s="12">
        <f t="shared" ref="AG113:AG144" ca="1" si="122">AF113*(1+NORMINV(RAND(),$C$8,$C$9))+$C$6*(1+$C$7)^29</f>
        <v>1591740.1131847354</v>
      </c>
      <c r="AH113" s="12">
        <f t="shared" ref="AH113:AH144" ca="1" si="123">AG113</f>
        <v>1591740.1131847354</v>
      </c>
    </row>
    <row r="114" spans="2:34" x14ac:dyDescent="0.25">
      <c r="B114" s="6">
        <v>98</v>
      </c>
      <c r="D114" s="12">
        <f t="shared" ca="1" si="93"/>
        <v>168433.57868255471</v>
      </c>
      <c r="E114" s="12">
        <f t="shared" ca="1" si="94"/>
        <v>193581.18798417115</v>
      </c>
      <c r="F114" s="12">
        <f t="shared" ca="1" si="95"/>
        <v>240431.21177042552</v>
      </c>
      <c r="G114" s="12">
        <f t="shared" ca="1" si="96"/>
        <v>266633.76758308202</v>
      </c>
      <c r="H114" s="12">
        <f t="shared" ca="1" si="97"/>
        <v>333777.61091236054</v>
      </c>
      <c r="I114" s="12">
        <f t="shared" ca="1" si="98"/>
        <v>339559.76258747478</v>
      </c>
      <c r="J114" s="12">
        <f t="shared" ca="1" si="99"/>
        <v>416554.46127219294</v>
      </c>
      <c r="K114" s="12">
        <f t="shared" ca="1" si="100"/>
        <v>439335.88512257958</v>
      </c>
      <c r="L114" s="12">
        <f t="shared" ca="1" si="101"/>
        <v>547772.29784694035</v>
      </c>
      <c r="M114" s="12">
        <f t="shared" ca="1" si="102"/>
        <v>629979.4556111811</v>
      </c>
      <c r="N114" s="12">
        <f t="shared" ca="1" si="103"/>
        <v>744826.89567391586</v>
      </c>
      <c r="O114" s="12">
        <f t="shared" ca="1" si="104"/>
        <v>829134.41408213228</v>
      </c>
      <c r="P114" s="12">
        <f t="shared" ca="1" si="105"/>
        <v>999739.46314826072</v>
      </c>
      <c r="Q114" s="12">
        <f t="shared" ca="1" si="106"/>
        <v>1118720.3393542937</v>
      </c>
      <c r="R114" s="12">
        <f t="shared" ca="1" si="107"/>
        <v>1220526.673482253</v>
      </c>
      <c r="S114" s="12">
        <f t="shared" ca="1" si="108"/>
        <v>1139056.0907210712</v>
      </c>
      <c r="T114" s="12">
        <f t="shared" ca="1" si="109"/>
        <v>1346910.3896309035</v>
      </c>
      <c r="U114" s="12">
        <f t="shared" ca="1" si="110"/>
        <v>1497728.7156733826</v>
      </c>
      <c r="V114" s="12">
        <f t="shared" ca="1" si="111"/>
        <v>1670453.2513164142</v>
      </c>
      <c r="W114" s="12">
        <f t="shared" ca="1" si="112"/>
        <v>1494595.7067882791</v>
      </c>
      <c r="X114" s="12">
        <f t="shared" ca="1" si="113"/>
        <v>1749235.4347654535</v>
      </c>
      <c r="Y114" s="12">
        <f t="shared" ca="1" si="114"/>
        <v>1543166.6212235647</v>
      </c>
      <c r="Z114" s="12">
        <f t="shared" ca="1" si="115"/>
        <v>1600947.648711358</v>
      </c>
      <c r="AA114" s="12">
        <f t="shared" ca="1" si="116"/>
        <v>1617838.287008818</v>
      </c>
      <c r="AB114" s="12">
        <f t="shared" ca="1" si="117"/>
        <v>1387824.4224495545</v>
      </c>
      <c r="AC114" s="12">
        <f t="shared" ca="1" si="118"/>
        <v>1445928.5822047435</v>
      </c>
      <c r="AD114" s="12">
        <f t="shared" ca="1" si="119"/>
        <v>1747793.7933213117</v>
      </c>
      <c r="AE114" s="12">
        <f t="shared" ca="1" si="120"/>
        <v>2118244.7958333795</v>
      </c>
      <c r="AF114" s="12">
        <f t="shared" ca="1" si="121"/>
        <v>2130316.4855974438</v>
      </c>
      <c r="AG114" s="12">
        <f t="shared" ca="1" si="122"/>
        <v>2471047.5781194214</v>
      </c>
      <c r="AH114" s="12">
        <f t="shared" ca="1" si="123"/>
        <v>2471047.5781194214</v>
      </c>
    </row>
    <row r="115" spans="2:34" x14ac:dyDescent="0.25">
      <c r="B115" s="6">
        <v>99</v>
      </c>
      <c r="D115" s="12">
        <f t="shared" ca="1" si="93"/>
        <v>156187.28492802617</v>
      </c>
      <c r="E115" s="12">
        <f t="shared" ca="1" si="94"/>
        <v>176732.01346928888</v>
      </c>
      <c r="F115" s="12">
        <f t="shared" ca="1" si="95"/>
        <v>204219.76200153003</v>
      </c>
      <c r="G115" s="12">
        <f t="shared" ca="1" si="96"/>
        <v>258116.58475072778</v>
      </c>
      <c r="H115" s="12">
        <f t="shared" ca="1" si="97"/>
        <v>241519.10054872025</v>
      </c>
      <c r="I115" s="12">
        <f t="shared" ca="1" si="98"/>
        <v>252009.49198691174</v>
      </c>
      <c r="J115" s="12">
        <f t="shared" ca="1" si="99"/>
        <v>338748.78694273764</v>
      </c>
      <c r="K115" s="12">
        <f t="shared" ca="1" si="100"/>
        <v>425017.92496547994</v>
      </c>
      <c r="L115" s="12">
        <f t="shared" ca="1" si="101"/>
        <v>480996.90704237949</v>
      </c>
      <c r="M115" s="12">
        <f t="shared" ca="1" si="102"/>
        <v>598163.43438962509</v>
      </c>
      <c r="N115" s="12">
        <f t="shared" ca="1" si="103"/>
        <v>575329.50503858132</v>
      </c>
      <c r="O115" s="12">
        <f t="shared" ca="1" si="104"/>
        <v>604610.83567148389</v>
      </c>
      <c r="P115" s="12">
        <f t="shared" ca="1" si="105"/>
        <v>831807.30548248312</v>
      </c>
      <c r="Q115" s="12">
        <f t="shared" ca="1" si="106"/>
        <v>965011.44789195084</v>
      </c>
      <c r="R115" s="12">
        <f t="shared" ca="1" si="107"/>
        <v>929589.52590511355</v>
      </c>
      <c r="S115" s="12">
        <f t="shared" ca="1" si="108"/>
        <v>924702.63219658693</v>
      </c>
      <c r="T115" s="12">
        <f t="shared" ca="1" si="109"/>
        <v>983482.29517278727</v>
      </c>
      <c r="U115" s="12">
        <f t="shared" ca="1" si="110"/>
        <v>1066274.839490185</v>
      </c>
      <c r="V115" s="12">
        <f t="shared" ca="1" si="111"/>
        <v>1085068.174501189</v>
      </c>
      <c r="W115" s="12">
        <f t="shared" ca="1" si="112"/>
        <v>1068727.0191034684</v>
      </c>
      <c r="X115" s="12">
        <f t="shared" ca="1" si="113"/>
        <v>1329112.9944301457</v>
      </c>
      <c r="Y115" s="12">
        <f t="shared" ca="1" si="114"/>
        <v>1571817.8723632158</v>
      </c>
      <c r="Z115" s="12">
        <f t="shared" ca="1" si="115"/>
        <v>1685050.854689559</v>
      </c>
      <c r="AA115" s="12">
        <f t="shared" ca="1" si="116"/>
        <v>2098397.6900499831</v>
      </c>
      <c r="AB115" s="12">
        <f t="shared" ca="1" si="117"/>
        <v>2346322.5947560524</v>
      </c>
      <c r="AC115" s="12">
        <f t="shared" ca="1" si="118"/>
        <v>2541192.1063113515</v>
      </c>
      <c r="AD115" s="12">
        <f t="shared" ca="1" si="119"/>
        <v>2713094.1510479194</v>
      </c>
      <c r="AE115" s="12">
        <f t="shared" ca="1" si="120"/>
        <v>3030013.1567313755</v>
      </c>
      <c r="AF115" s="12">
        <f t="shared" ca="1" si="121"/>
        <v>3220134.2407264258</v>
      </c>
      <c r="AG115" s="12">
        <f t="shared" ca="1" si="122"/>
        <v>3349591.5016378406</v>
      </c>
      <c r="AH115" s="12">
        <f t="shared" ca="1" si="123"/>
        <v>3349591.5016378406</v>
      </c>
    </row>
    <row r="116" spans="2:34" x14ac:dyDescent="0.25">
      <c r="B116" s="6">
        <v>100</v>
      </c>
      <c r="D116" s="12">
        <f t="shared" ca="1" si="93"/>
        <v>185472.57086009311</v>
      </c>
      <c r="E116" s="12">
        <f t="shared" ca="1" si="94"/>
        <v>239034.28937615722</v>
      </c>
      <c r="F116" s="12">
        <f t="shared" ca="1" si="95"/>
        <v>317964.19045337039</v>
      </c>
      <c r="G116" s="12">
        <f t="shared" ca="1" si="96"/>
        <v>407985.7048064057</v>
      </c>
      <c r="H116" s="12">
        <f t="shared" ca="1" si="97"/>
        <v>474313.55722906609</v>
      </c>
      <c r="I116" s="12">
        <f t="shared" ca="1" si="98"/>
        <v>526493.52955847967</v>
      </c>
      <c r="J116" s="12">
        <f t="shared" ca="1" si="99"/>
        <v>555827.89719941944</v>
      </c>
      <c r="K116" s="12">
        <f t="shared" ca="1" si="100"/>
        <v>626734.92154573568</v>
      </c>
      <c r="L116" s="12">
        <f t="shared" ca="1" si="101"/>
        <v>658420.59444953687</v>
      </c>
      <c r="M116" s="12">
        <f t="shared" ca="1" si="102"/>
        <v>755734.23147141666</v>
      </c>
      <c r="N116" s="12">
        <f t="shared" ca="1" si="103"/>
        <v>810429.37997054833</v>
      </c>
      <c r="O116" s="12">
        <f t="shared" ca="1" si="104"/>
        <v>951346.57563899388</v>
      </c>
      <c r="P116" s="12">
        <f t="shared" ca="1" si="105"/>
        <v>1042820.8268450979</v>
      </c>
      <c r="Q116" s="12">
        <f t="shared" ca="1" si="106"/>
        <v>1180366.0119021384</v>
      </c>
      <c r="R116" s="12">
        <f t="shared" ca="1" si="107"/>
        <v>1078277.7894146964</v>
      </c>
      <c r="S116" s="12">
        <f t="shared" ca="1" si="108"/>
        <v>1133345.0673045297</v>
      </c>
      <c r="T116" s="12">
        <f t="shared" ca="1" si="109"/>
        <v>1104409.3199759729</v>
      </c>
      <c r="U116" s="12">
        <f t="shared" ca="1" si="110"/>
        <v>1344678.6873771504</v>
      </c>
      <c r="V116" s="12">
        <f t="shared" ca="1" si="111"/>
        <v>1365201.1579367905</v>
      </c>
      <c r="W116" s="12">
        <f t="shared" ca="1" si="112"/>
        <v>1278843.4444137919</v>
      </c>
      <c r="X116" s="12">
        <f t="shared" ca="1" si="113"/>
        <v>991963.69429166289</v>
      </c>
      <c r="Y116" s="12">
        <f t="shared" ca="1" si="114"/>
        <v>859893.89302390139</v>
      </c>
      <c r="Z116" s="12">
        <f t="shared" ca="1" si="115"/>
        <v>1066516.9825828003</v>
      </c>
      <c r="AA116" s="12">
        <f t="shared" ca="1" si="116"/>
        <v>1139475.230173836</v>
      </c>
      <c r="AB116" s="12">
        <f t="shared" ca="1" si="117"/>
        <v>1325401.4617351217</v>
      </c>
      <c r="AC116" s="12">
        <f t="shared" ca="1" si="118"/>
        <v>1561536.192117698</v>
      </c>
      <c r="AD116" s="12">
        <f t="shared" ca="1" si="119"/>
        <v>1775146.203177837</v>
      </c>
      <c r="AE116" s="12">
        <f t="shared" ca="1" si="120"/>
        <v>1818852.6186043264</v>
      </c>
      <c r="AF116" s="12">
        <f t="shared" ca="1" si="121"/>
        <v>1837433.8907036493</v>
      </c>
      <c r="AG116" s="12">
        <f t="shared" ca="1" si="122"/>
        <v>1686592.4528943456</v>
      </c>
      <c r="AH116" s="12">
        <f t="shared" ca="1" si="123"/>
        <v>1686592.4528943456</v>
      </c>
    </row>
    <row r="117" spans="2:34" x14ac:dyDescent="0.25">
      <c r="B117" s="6">
        <v>101</v>
      </c>
      <c r="D117" s="12">
        <f t="shared" ca="1" si="93"/>
        <v>167724.58628032872</v>
      </c>
      <c r="E117" s="12">
        <f t="shared" ca="1" si="94"/>
        <v>208672.41291637515</v>
      </c>
      <c r="F117" s="12">
        <f t="shared" ca="1" si="95"/>
        <v>313602.97154677752</v>
      </c>
      <c r="G117" s="12">
        <f t="shared" ca="1" si="96"/>
        <v>375703.06524613628</v>
      </c>
      <c r="H117" s="12">
        <f t="shared" ca="1" si="97"/>
        <v>426991.0309007109</v>
      </c>
      <c r="I117" s="12">
        <f t="shared" ca="1" si="98"/>
        <v>498349.84915574087</v>
      </c>
      <c r="J117" s="12">
        <f t="shared" ca="1" si="99"/>
        <v>565098.54195201688</v>
      </c>
      <c r="K117" s="12">
        <f t="shared" ca="1" si="100"/>
        <v>585264.35488833115</v>
      </c>
      <c r="L117" s="12">
        <f t="shared" ca="1" si="101"/>
        <v>662634.0591118288</v>
      </c>
      <c r="M117" s="12">
        <f t="shared" ca="1" si="102"/>
        <v>734012.77999126143</v>
      </c>
      <c r="N117" s="12">
        <f t="shared" ca="1" si="103"/>
        <v>905902.4711615392</v>
      </c>
      <c r="O117" s="12">
        <f t="shared" ca="1" si="104"/>
        <v>834197.64704635448</v>
      </c>
      <c r="P117" s="12">
        <f t="shared" ca="1" si="105"/>
        <v>1056157.5520492904</v>
      </c>
      <c r="Q117" s="12">
        <f t="shared" ca="1" si="106"/>
        <v>1149619.3201984735</v>
      </c>
      <c r="R117" s="12">
        <f t="shared" ca="1" si="107"/>
        <v>1136277.1582081565</v>
      </c>
      <c r="S117" s="12">
        <f t="shared" ca="1" si="108"/>
        <v>1350765.377406403</v>
      </c>
      <c r="T117" s="12">
        <f t="shared" ca="1" si="109"/>
        <v>1685945.0536882533</v>
      </c>
      <c r="U117" s="12">
        <f t="shared" ca="1" si="110"/>
        <v>1419347.8474252231</v>
      </c>
      <c r="V117" s="12">
        <f t="shared" ca="1" si="111"/>
        <v>1611950.4679827224</v>
      </c>
      <c r="W117" s="12">
        <f t="shared" ca="1" si="112"/>
        <v>1799808.3671386628</v>
      </c>
      <c r="X117" s="12">
        <f t="shared" ca="1" si="113"/>
        <v>1734775.5293010268</v>
      </c>
      <c r="Y117" s="12">
        <f t="shared" ca="1" si="114"/>
        <v>1872866.660764646</v>
      </c>
      <c r="Z117" s="12">
        <f t="shared" ca="1" si="115"/>
        <v>1794736.7647596237</v>
      </c>
      <c r="AA117" s="12">
        <f t="shared" ca="1" si="116"/>
        <v>2050515.7556674539</v>
      </c>
      <c r="AB117" s="12">
        <f t="shared" ca="1" si="117"/>
        <v>2072655.5969394878</v>
      </c>
      <c r="AC117" s="12">
        <f t="shared" ca="1" si="118"/>
        <v>2072475.5383658614</v>
      </c>
      <c r="AD117" s="12">
        <f t="shared" ca="1" si="119"/>
        <v>2118514.3588177413</v>
      </c>
      <c r="AE117" s="12">
        <f t="shared" ca="1" si="120"/>
        <v>2394302.3136280146</v>
      </c>
      <c r="AF117" s="12">
        <f t="shared" ca="1" si="121"/>
        <v>2246009.1116150441</v>
      </c>
      <c r="AG117" s="12">
        <f t="shared" ca="1" si="122"/>
        <v>2800913.0269791172</v>
      </c>
      <c r="AH117" s="12">
        <f t="shared" ca="1" si="123"/>
        <v>2800913.0269791172</v>
      </c>
    </row>
    <row r="118" spans="2:34" x14ac:dyDescent="0.25">
      <c r="B118" s="6">
        <v>102</v>
      </c>
      <c r="D118" s="12">
        <f t="shared" ca="1" si="93"/>
        <v>173767.30657104219</v>
      </c>
      <c r="E118" s="12">
        <f t="shared" ca="1" si="94"/>
        <v>188329.07949581149</v>
      </c>
      <c r="F118" s="12">
        <f t="shared" ca="1" si="95"/>
        <v>171359.14008811396</v>
      </c>
      <c r="G118" s="12">
        <f t="shared" ca="1" si="96"/>
        <v>203174.16831959801</v>
      </c>
      <c r="H118" s="12">
        <f t="shared" ca="1" si="97"/>
        <v>255970.18532055063</v>
      </c>
      <c r="I118" s="12">
        <f t="shared" ca="1" si="98"/>
        <v>296271.91825332167</v>
      </c>
      <c r="J118" s="12">
        <f t="shared" ca="1" si="99"/>
        <v>321364.43979203445</v>
      </c>
      <c r="K118" s="12">
        <f t="shared" ca="1" si="100"/>
        <v>380562.77505552251</v>
      </c>
      <c r="L118" s="12">
        <f t="shared" ca="1" si="101"/>
        <v>424699.66005803004</v>
      </c>
      <c r="M118" s="12">
        <f t="shared" ca="1" si="102"/>
        <v>561112.44020443293</v>
      </c>
      <c r="N118" s="12">
        <f t="shared" ca="1" si="103"/>
        <v>498653.24364898267</v>
      </c>
      <c r="O118" s="12">
        <f t="shared" ca="1" si="104"/>
        <v>509235.1423091513</v>
      </c>
      <c r="P118" s="12">
        <f t="shared" ca="1" si="105"/>
        <v>569835.06303902913</v>
      </c>
      <c r="Q118" s="12">
        <f t="shared" ca="1" si="106"/>
        <v>747876.68656481418</v>
      </c>
      <c r="R118" s="12">
        <f t="shared" ca="1" si="107"/>
        <v>583196.6760590144</v>
      </c>
      <c r="S118" s="12">
        <f t="shared" ca="1" si="108"/>
        <v>677476.26678960538</v>
      </c>
      <c r="T118" s="12">
        <f t="shared" ca="1" si="109"/>
        <v>766352.25957562006</v>
      </c>
      <c r="U118" s="12">
        <f t="shared" ca="1" si="110"/>
        <v>844280.56255354255</v>
      </c>
      <c r="V118" s="12">
        <f t="shared" ca="1" si="111"/>
        <v>937109.04152503877</v>
      </c>
      <c r="W118" s="12">
        <f t="shared" ca="1" si="112"/>
        <v>1254450.1901974475</v>
      </c>
      <c r="X118" s="12">
        <f t="shared" ca="1" si="113"/>
        <v>1492936.7169807665</v>
      </c>
      <c r="Y118" s="12">
        <f t="shared" ca="1" si="114"/>
        <v>1648147.7840360838</v>
      </c>
      <c r="Z118" s="12">
        <f t="shared" ca="1" si="115"/>
        <v>1683882.6458741457</v>
      </c>
      <c r="AA118" s="12">
        <f t="shared" ca="1" si="116"/>
        <v>1884197.8927668829</v>
      </c>
      <c r="AB118" s="12">
        <f t="shared" ca="1" si="117"/>
        <v>1718515.4172260913</v>
      </c>
      <c r="AC118" s="12">
        <f t="shared" ca="1" si="118"/>
        <v>1709047.965433954</v>
      </c>
      <c r="AD118" s="12">
        <f t="shared" ca="1" si="119"/>
        <v>2199619.0317953099</v>
      </c>
      <c r="AE118" s="12">
        <f t="shared" ca="1" si="120"/>
        <v>2185510.6802240764</v>
      </c>
      <c r="AF118" s="12">
        <f t="shared" ca="1" si="121"/>
        <v>2720709.8496636157</v>
      </c>
      <c r="AG118" s="12">
        <f t="shared" ca="1" si="122"/>
        <v>2578814.7017627107</v>
      </c>
      <c r="AH118" s="12">
        <f t="shared" ca="1" si="123"/>
        <v>2578814.7017627107</v>
      </c>
    </row>
    <row r="119" spans="2:34" x14ac:dyDescent="0.25">
      <c r="B119" s="6">
        <v>103</v>
      </c>
      <c r="D119" s="12">
        <f t="shared" ca="1" si="93"/>
        <v>188085.50216743362</v>
      </c>
      <c r="E119" s="12">
        <f t="shared" ca="1" si="94"/>
        <v>164898.41015133378</v>
      </c>
      <c r="F119" s="12">
        <f t="shared" ca="1" si="95"/>
        <v>160951.37966114478</v>
      </c>
      <c r="G119" s="12">
        <f t="shared" ca="1" si="96"/>
        <v>193578.52870280371</v>
      </c>
      <c r="H119" s="12">
        <f t="shared" ca="1" si="97"/>
        <v>201274.0623666113</v>
      </c>
      <c r="I119" s="12">
        <f t="shared" ca="1" si="98"/>
        <v>264834.80453885079</v>
      </c>
      <c r="J119" s="12">
        <f t="shared" ca="1" si="99"/>
        <v>344771.74871487211</v>
      </c>
      <c r="K119" s="12">
        <f t="shared" ca="1" si="100"/>
        <v>379499.51075067814</v>
      </c>
      <c r="L119" s="12">
        <f t="shared" ca="1" si="101"/>
        <v>494832.32472897338</v>
      </c>
      <c r="M119" s="12">
        <f t="shared" ca="1" si="102"/>
        <v>578077.22665751225</v>
      </c>
      <c r="N119" s="12">
        <f t="shared" ca="1" si="103"/>
        <v>572890.02163992659</v>
      </c>
      <c r="O119" s="12">
        <f t="shared" ca="1" si="104"/>
        <v>721093.32008478185</v>
      </c>
      <c r="P119" s="12">
        <f t="shared" ca="1" si="105"/>
        <v>717228.03577740025</v>
      </c>
      <c r="Q119" s="12">
        <f t="shared" ca="1" si="106"/>
        <v>744759.85185686057</v>
      </c>
      <c r="R119" s="12">
        <f t="shared" ca="1" si="107"/>
        <v>733673.31684580247</v>
      </c>
      <c r="S119" s="12">
        <f t="shared" ca="1" si="108"/>
        <v>791551.32774652413</v>
      </c>
      <c r="T119" s="12">
        <f t="shared" ca="1" si="109"/>
        <v>829456.40767723613</v>
      </c>
      <c r="U119" s="12">
        <f t="shared" ca="1" si="110"/>
        <v>870243.77640621096</v>
      </c>
      <c r="V119" s="12">
        <f t="shared" ca="1" si="111"/>
        <v>1001638.1503257038</v>
      </c>
      <c r="W119" s="12">
        <f t="shared" ca="1" si="112"/>
        <v>991115.43398193084</v>
      </c>
      <c r="X119" s="12">
        <f t="shared" ca="1" si="113"/>
        <v>921985.76557342138</v>
      </c>
      <c r="Y119" s="12">
        <f t="shared" ca="1" si="114"/>
        <v>1069767.2708594904</v>
      </c>
      <c r="Z119" s="12">
        <f t="shared" ca="1" si="115"/>
        <v>1086575.632544413</v>
      </c>
      <c r="AA119" s="12">
        <f t="shared" ca="1" si="116"/>
        <v>1256955.3934001517</v>
      </c>
      <c r="AB119" s="12">
        <f t="shared" ca="1" si="117"/>
        <v>1337717.9929166844</v>
      </c>
      <c r="AC119" s="12">
        <f t="shared" ca="1" si="118"/>
        <v>1421520.977189335</v>
      </c>
      <c r="AD119" s="12">
        <f t="shared" ca="1" si="119"/>
        <v>1644684.6614993892</v>
      </c>
      <c r="AE119" s="12">
        <f t="shared" ca="1" si="120"/>
        <v>1546716.9575606226</v>
      </c>
      <c r="AF119" s="12">
        <f t="shared" ca="1" si="121"/>
        <v>1621995.212899589</v>
      </c>
      <c r="AG119" s="12">
        <f t="shared" ca="1" si="122"/>
        <v>1651683.7810431332</v>
      </c>
      <c r="AH119" s="12">
        <f t="shared" ca="1" si="123"/>
        <v>1651683.7810431332</v>
      </c>
    </row>
    <row r="120" spans="2:34" x14ac:dyDescent="0.25">
      <c r="B120" s="6">
        <v>104</v>
      </c>
      <c r="D120" s="12">
        <f t="shared" ca="1" si="93"/>
        <v>206571.95883048675</v>
      </c>
      <c r="E120" s="12">
        <f t="shared" ca="1" si="94"/>
        <v>239778.68581211241</v>
      </c>
      <c r="F120" s="12">
        <f t="shared" ca="1" si="95"/>
        <v>315675.75761495787</v>
      </c>
      <c r="G120" s="12">
        <f t="shared" ca="1" si="96"/>
        <v>396257.89733717823</v>
      </c>
      <c r="H120" s="12">
        <f t="shared" ca="1" si="97"/>
        <v>465982.63044931099</v>
      </c>
      <c r="I120" s="12">
        <f t="shared" ca="1" si="98"/>
        <v>520003.23175190738</v>
      </c>
      <c r="J120" s="12">
        <f t="shared" ca="1" si="99"/>
        <v>460219.88438345544</v>
      </c>
      <c r="K120" s="12">
        <f t="shared" ca="1" si="100"/>
        <v>552150.303489518</v>
      </c>
      <c r="L120" s="12">
        <f t="shared" ca="1" si="101"/>
        <v>689072.41918346728</v>
      </c>
      <c r="M120" s="12">
        <f t="shared" ca="1" si="102"/>
        <v>723029.57399082172</v>
      </c>
      <c r="N120" s="12">
        <f t="shared" ca="1" si="103"/>
        <v>783359.76892912982</v>
      </c>
      <c r="O120" s="12">
        <f t="shared" ca="1" si="104"/>
        <v>848340.21229525772</v>
      </c>
      <c r="P120" s="12">
        <f t="shared" ca="1" si="105"/>
        <v>946196.71957947395</v>
      </c>
      <c r="Q120" s="12">
        <f t="shared" ca="1" si="106"/>
        <v>1129788.6730667052</v>
      </c>
      <c r="R120" s="12">
        <f t="shared" ca="1" si="107"/>
        <v>1352672.3059011672</v>
      </c>
      <c r="S120" s="12">
        <f t="shared" ca="1" si="108"/>
        <v>1463282.2171909271</v>
      </c>
      <c r="T120" s="12">
        <f t="shared" ca="1" si="109"/>
        <v>1434084.3120540234</v>
      </c>
      <c r="U120" s="12">
        <f t="shared" ca="1" si="110"/>
        <v>1675587.8795569302</v>
      </c>
      <c r="V120" s="12">
        <f t="shared" ca="1" si="111"/>
        <v>1527818.0639718389</v>
      </c>
      <c r="W120" s="12">
        <f t="shared" ca="1" si="112"/>
        <v>1606018.7641590782</v>
      </c>
      <c r="X120" s="12">
        <f t="shared" ca="1" si="113"/>
        <v>1502199.7401432453</v>
      </c>
      <c r="Y120" s="12">
        <f t="shared" ca="1" si="114"/>
        <v>1478750.6892795002</v>
      </c>
      <c r="Z120" s="12">
        <f t="shared" ca="1" si="115"/>
        <v>1818272.7866108892</v>
      </c>
      <c r="AA120" s="12">
        <f t="shared" ca="1" si="116"/>
        <v>1762266.5889867523</v>
      </c>
      <c r="AB120" s="12">
        <f t="shared" ca="1" si="117"/>
        <v>2152750.4121728358</v>
      </c>
      <c r="AC120" s="12">
        <f t="shared" ca="1" si="118"/>
        <v>2423113.9044610895</v>
      </c>
      <c r="AD120" s="12">
        <f t="shared" ca="1" si="119"/>
        <v>2609249.8183345553</v>
      </c>
      <c r="AE120" s="12">
        <f t="shared" ca="1" si="120"/>
        <v>3141477.9927046285</v>
      </c>
      <c r="AF120" s="12">
        <f t="shared" ca="1" si="121"/>
        <v>3220663.4364334699</v>
      </c>
      <c r="AG120" s="12">
        <f t="shared" ca="1" si="122"/>
        <v>3036226.9067057534</v>
      </c>
      <c r="AH120" s="12">
        <f t="shared" ca="1" si="123"/>
        <v>3036226.9067057534</v>
      </c>
    </row>
    <row r="121" spans="2:34" x14ac:dyDescent="0.25">
      <c r="B121" s="6">
        <v>105</v>
      </c>
      <c r="D121" s="12">
        <f t="shared" ca="1" si="93"/>
        <v>185347.43099817805</v>
      </c>
      <c r="E121" s="12">
        <f t="shared" ca="1" si="94"/>
        <v>212782.35844650364</v>
      </c>
      <c r="F121" s="12">
        <f t="shared" ca="1" si="95"/>
        <v>286323.05466742476</v>
      </c>
      <c r="G121" s="12">
        <f t="shared" ca="1" si="96"/>
        <v>285543.68472467724</v>
      </c>
      <c r="H121" s="12">
        <f t="shared" ca="1" si="97"/>
        <v>273480.15447374736</v>
      </c>
      <c r="I121" s="12">
        <f t="shared" ca="1" si="98"/>
        <v>360880.42923229263</v>
      </c>
      <c r="J121" s="12">
        <f t="shared" ca="1" si="99"/>
        <v>383847.56627109839</v>
      </c>
      <c r="K121" s="12">
        <f t="shared" ca="1" si="100"/>
        <v>415068.09293310432</v>
      </c>
      <c r="L121" s="12">
        <f t="shared" ca="1" si="101"/>
        <v>501536.98170481698</v>
      </c>
      <c r="M121" s="12">
        <f t="shared" ca="1" si="102"/>
        <v>433428.37379634881</v>
      </c>
      <c r="N121" s="12">
        <f t="shared" ca="1" si="103"/>
        <v>438360.48163262202</v>
      </c>
      <c r="O121" s="12">
        <f t="shared" ca="1" si="104"/>
        <v>472323.77615263837</v>
      </c>
      <c r="P121" s="12">
        <f t="shared" ca="1" si="105"/>
        <v>599376.53027469676</v>
      </c>
      <c r="Q121" s="12">
        <f t="shared" ca="1" si="106"/>
        <v>690920.80781402043</v>
      </c>
      <c r="R121" s="12">
        <f t="shared" ca="1" si="107"/>
        <v>657494.57768463204</v>
      </c>
      <c r="S121" s="12">
        <f t="shared" ca="1" si="108"/>
        <v>750744.50553503947</v>
      </c>
      <c r="T121" s="12">
        <f t="shared" ca="1" si="109"/>
        <v>767253.35788610065</v>
      </c>
      <c r="U121" s="12">
        <f t="shared" ca="1" si="110"/>
        <v>772947.16406049195</v>
      </c>
      <c r="V121" s="12">
        <f t="shared" ca="1" si="111"/>
        <v>902122.27216842677</v>
      </c>
      <c r="W121" s="12">
        <f t="shared" ca="1" si="112"/>
        <v>893885.97189596249</v>
      </c>
      <c r="X121" s="12">
        <f t="shared" ca="1" si="113"/>
        <v>870251.2631530877</v>
      </c>
      <c r="Y121" s="12">
        <f t="shared" ca="1" si="114"/>
        <v>936406.83706067759</v>
      </c>
      <c r="Z121" s="12">
        <f t="shared" ca="1" si="115"/>
        <v>1170204.6607273759</v>
      </c>
      <c r="AA121" s="12">
        <f t="shared" ca="1" si="116"/>
        <v>1199005.4663596507</v>
      </c>
      <c r="AB121" s="12">
        <f t="shared" ca="1" si="117"/>
        <v>1227214.3868592975</v>
      </c>
      <c r="AC121" s="12">
        <f t="shared" ca="1" si="118"/>
        <v>1126830.0427865095</v>
      </c>
      <c r="AD121" s="12">
        <f t="shared" ca="1" si="119"/>
        <v>1336418.7980479761</v>
      </c>
      <c r="AE121" s="12">
        <f t="shared" ca="1" si="120"/>
        <v>1674728.1691030359</v>
      </c>
      <c r="AF121" s="12">
        <f t="shared" ca="1" si="121"/>
        <v>1669484.1894069463</v>
      </c>
      <c r="AG121" s="12">
        <f t="shared" ca="1" si="122"/>
        <v>1965273.790501653</v>
      </c>
      <c r="AH121" s="12">
        <f t="shared" ca="1" si="123"/>
        <v>1965273.790501653</v>
      </c>
    </row>
    <row r="122" spans="2:34" x14ac:dyDescent="0.25">
      <c r="B122" s="6">
        <v>106</v>
      </c>
      <c r="D122" s="12">
        <f t="shared" ca="1" si="93"/>
        <v>180098.48618544044</v>
      </c>
      <c r="E122" s="12">
        <f t="shared" ca="1" si="94"/>
        <v>184753.13419069618</v>
      </c>
      <c r="F122" s="12">
        <f t="shared" ca="1" si="95"/>
        <v>237350.95589317739</v>
      </c>
      <c r="G122" s="12">
        <f t="shared" ca="1" si="96"/>
        <v>285263.44684095995</v>
      </c>
      <c r="H122" s="12">
        <f t="shared" ca="1" si="97"/>
        <v>358139.75633156003</v>
      </c>
      <c r="I122" s="12">
        <f t="shared" ca="1" si="98"/>
        <v>352007.51248848706</v>
      </c>
      <c r="J122" s="12">
        <f t="shared" ca="1" si="99"/>
        <v>387789.68619378912</v>
      </c>
      <c r="K122" s="12">
        <f t="shared" ca="1" si="100"/>
        <v>483197.31985924969</v>
      </c>
      <c r="L122" s="12">
        <f t="shared" ca="1" si="101"/>
        <v>452563.83459656686</v>
      </c>
      <c r="M122" s="12">
        <f t="shared" ca="1" si="102"/>
        <v>492222.74509821506</v>
      </c>
      <c r="N122" s="12">
        <f t="shared" ca="1" si="103"/>
        <v>500922.7529423227</v>
      </c>
      <c r="O122" s="12">
        <f t="shared" ca="1" si="104"/>
        <v>594761.25067424972</v>
      </c>
      <c r="P122" s="12">
        <f t="shared" ca="1" si="105"/>
        <v>720587.59054709692</v>
      </c>
      <c r="Q122" s="12">
        <f t="shared" ca="1" si="106"/>
        <v>761309.92343893403</v>
      </c>
      <c r="R122" s="12">
        <f t="shared" ca="1" si="107"/>
        <v>1046146.4238762143</v>
      </c>
      <c r="S122" s="12">
        <f t="shared" ca="1" si="108"/>
        <v>1165783.1841353814</v>
      </c>
      <c r="T122" s="12">
        <f t="shared" ca="1" si="109"/>
        <v>1265166.9526663146</v>
      </c>
      <c r="U122" s="12">
        <f t="shared" ca="1" si="110"/>
        <v>1349245.9944758399</v>
      </c>
      <c r="V122" s="12">
        <f t="shared" ca="1" si="111"/>
        <v>1535711.3258312258</v>
      </c>
      <c r="W122" s="12">
        <f t="shared" ca="1" si="112"/>
        <v>1611230.724386706</v>
      </c>
      <c r="X122" s="12">
        <f t="shared" ca="1" si="113"/>
        <v>2220720.4868160081</v>
      </c>
      <c r="Y122" s="12">
        <f t="shared" ca="1" si="114"/>
        <v>2605119.1251661875</v>
      </c>
      <c r="Z122" s="12">
        <f t="shared" ca="1" si="115"/>
        <v>2973895.4213132355</v>
      </c>
      <c r="AA122" s="12">
        <f t="shared" ca="1" si="116"/>
        <v>2899065.4385185181</v>
      </c>
      <c r="AB122" s="12">
        <f t="shared" ca="1" si="117"/>
        <v>3072212.3166973745</v>
      </c>
      <c r="AC122" s="12">
        <f t="shared" ca="1" si="118"/>
        <v>3398566.3664022111</v>
      </c>
      <c r="AD122" s="12">
        <f t="shared" ca="1" si="119"/>
        <v>3515883.2708151001</v>
      </c>
      <c r="AE122" s="12">
        <f t="shared" ca="1" si="120"/>
        <v>4056417.2525124489</v>
      </c>
      <c r="AF122" s="12">
        <f t="shared" ca="1" si="121"/>
        <v>4422631.4320796896</v>
      </c>
      <c r="AG122" s="12">
        <f t="shared" ca="1" si="122"/>
        <v>4338152.2019715561</v>
      </c>
      <c r="AH122" s="12">
        <f t="shared" ca="1" si="123"/>
        <v>4338152.2019715561</v>
      </c>
    </row>
    <row r="123" spans="2:34" x14ac:dyDescent="0.25">
      <c r="B123" s="6">
        <v>107</v>
      </c>
      <c r="D123" s="12">
        <f t="shared" ca="1" si="93"/>
        <v>195324.40364110074</v>
      </c>
      <c r="E123" s="12">
        <f t="shared" ca="1" si="94"/>
        <v>203334.97896800301</v>
      </c>
      <c r="F123" s="12">
        <f t="shared" ca="1" si="95"/>
        <v>194716.49728033727</v>
      </c>
      <c r="G123" s="12">
        <f t="shared" ca="1" si="96"/>
        <v>260259.29335804589</v>
      </c>
      <c r="H123" s="12">
        <f t="shared" ca="1" si="97"/>
        <v>289704.56082360313</v>
      </c>
      <c r="I123" s="12">
        <f t="shared" ca="1" si="98"/>
        <v>348397.84374751424</v>
      </c>
      <c r="J123" s="12">
        <f t="shared" ca="1" si="99"/>
        <v>468674.49747761991</v>
      </c>
      <c r="K123" s="12">
        <f t="shared" ca="1" si="100"/>
        <v>517040.34031101246</v>
      </c>
      <c r="L123" s="12">
        <f t="shared" ca="1" si="101"/>
        <v>555805.08524680848</v>
      </c>
      <c r="M123" s="12">
        <f t="shared" ca="1" si="102"/>
        <v>564859.80732936168</v>
      </c>
      <c r="N123" s="12">
        <f t="shared" ca="1" si="103"/>
        <v>692948.92446778133</v>
      </c>
      <c r="O123" s="12">
        <f t="shared" ca="1" si="104"/>
        <v>723682.99412469158</v>
      </c>
      <c r="P123" s="12">
        <f t="shared" ca="1" si="105"/>
        <v>956484.5938389299</v>
      </c>
      <c r="Q123" s="12">
        <f t="shared" ca="1" si="106"/>
        <v>1038344.3387628369</v>
      </c>
      <c r="R123" s="12">
        <f t="shared" ca="1" si="107"/>
        <v>1129710.3407740218</v>
      </c>
      <c r="S123" s="12">
        <f t="shared" ca="1" si="108"/>
        <v>1130100.8808570721</v>
      </c>
      <c r="T123" s="12">
        <f t="shared" ca="1" si="109"/>
        <v>1232890.8289620746</v>
      </c>
      <c r="U123" s="12">
        <f t="shared" ca="1" si="110"/>
        <v>1479375.9943513996</v>
      </c>
      <c r="V123" s="12">
        <f t="shared" ca="1" si="111"/>
        <v>1519554.9479078862</v>
      </c>
      <c r="W123" s="12">
        <f t="shared" ca="1" si="112"/>
        <v>1483650.5434767327</v>
      </c>
      <c r="X123" s="12">
        <f t="shared" ca="1" si="113"/>
        <v>1422569.7341285257</v>
      </c>
      <c r="Y123" s="12">
        <f t="shared" ca="1" si="114"/>
        <v>1624725.379385394</v>
      </c>
      <c r="Z123" s="12">
        <f t="shared" ca="1" si="115"/>
        <v>1671534.4781409467</v>
      </c>
      <c r="AA123" s="12">
        <f t="shared" ca="1" si="116"/>
        <v>1953845.6987964525</v>
      </c>
      <c r="AB123" s="12">
        <f t="shared" ca="1" si="117"/>
        <v>1774287.661989406</v>
      </c>
      <c r="AC123" s="12">
        <f t="shared" ca="1" si="118"/>
        <v>1700972.7605930555</v>
      </c>
      <c r="AD123" s="12">
        <f t="shared" ca="1" si="119"/>
        <v>1786905.1740278774</v>
      </c>
      <c r="AE123" s="12">
        <f t="shared" ca="1" si="120"/>
        <v>2038264.1574586651</v>
      </c>
      <c r="AF123" s="12">
        <f t="shared" ca="1" si="121"/>
        <v>2270718.9641987779</v>
      </c>
      <c r="AG123" s="12">
        <f t="shared" ca="1" si="122"/>
        <v>2358496.5846900404</v>
      </c>
      <c r="AH123" s="12">
        <f t="shared" ca="1" si="123"/>
        <v>2358496.5846900404</v>
      </c>
    </row>
    <row r="124" spans="2:34" x14ac:dyDescent="0.25">
      <c r="B124" s="6">
        <v>108</v>
      </c>
      <c r="D124" s="12">
        <f t="shared" ca="1" si="93"/>
        <v>178670.4836767849</v>
      </c>
      <c r="E124" s="12">
        <f t="shared" ca="1" si="94"/>
        <v>209507.34872229607</v>
      </c>
      <c r="F124" s="12">
        <f t="shared" ca="1" si="95"/>
        <v>204638.14701226834</v>
      </c>
      <c r="G124" s="12">
        <f t="shared" ca="1" si="96"/>
        <v>227317.70330546331</v>
      </c>
      <c r="H124" s="12">
        <f t="shared" ca="1" si="97"/>
        <v>258556.05814894353</v>
      </c>
      <c r="I124" s="12">
        <f t="shared" ca="1" si="98"/>
        <v>289267.82587245008</v>
      </c>
      <c r="J124" s="12">
        <f t="shared" ca="1" si="99"/>
        <v>260232.03887148894</v>
      </c>
      <c r="K124" s="12">
        <f t="shared" ca="1" si="100"/>
        <v>221272.15710189249</v>
      </c>
      <c r="L124" s="12">
        <f t="shared" ca="1" si="101"/>
        <v>255444.51418030754</v>
      </c>
      <c r="M124" s="12">
        <f t="shared" ca="1" si="102"/>
        <v>281647.08479350701</v>
      </c>
      <c r="N124" s="12">
        <f t="shared" ca="1" si="103"/>
        <v>295700.56098614726</v>
      </c>
      <c r="O124" s="12">
        <f t="shared" ca="1" si="104"/>
        <v>329023.97594602755</v>
      </c>
      <c r="P124" s="12">
        <f t="shared" ca="1" si="105"/>
        <v>422951.1698151491</v>
      </c>
      <c r="Q124" s="12">
        <f t="shared" ca="1" si="106"/>
        <v>447869.58234297071</v>
      </c>
      <c r="R124" s="12">
        <f t="shared" ca="1" si="107"/>
        <v>524774.32188569522</v>
      </c>
      <c r="S124" s="12">
        <f t="shared" ca="1" si="108"/>
        <v>552740.55645344069</v>
      </c>
      <c r="T124" s="12">
        <f t="shared" ca="1" si="109"/>
        <v>609392.07624428952</v>
      </c>
      <c r="U124" s="12">
        <f t="shared" ca="1" si="110"/>
        <v>790423.34169591847</v>
      </c>
      <c r="V124" s="12">
        <f t="shared" ca="1" si="111"/>
        <v>942950.81604496378</v>
      </c>
      <c r="W124" s="12">
        <f t="shared" ca="1" si="112"/>
        <v>927022.58034944057</v>
      </c>
      <c r="X124" s="12">
        <f t="shared" ca="1" si="113"/>
        <v>1084166.1441617711</v>
      </c>
      <c r="Y124" s="12">
        <f t="shared" ca="1" si="114"/>
        <v>1194574.8022448805</v>
      </c>
      <c r="Z124" s="12">
        <f t="shared" ca="1" si="115"/>
        <v>1298858.0585330396</v>
      </c>
      <c r="AA124" s="12">
        <f t="shared" ca="1" si="116"/>
        <v>1292732.4899042791</v>
      </c>
      <c r="AB124" s="12">
        <f t="shared" ca="1" si="117"/>
        <v>1297766.4698501697</v>
      </c>
      <c r="AC124" s="12">
        <f t="shared" ca="1" si="118"/>
        <v>1289194.7170206439</v>
      </c>
      <c r="AD124" s="12">
        <f t="shared" ca="1" si="119"/>
        <v>1610648.7768084835</v>
      </c>
      <c r="AE124" s="12">
        <f t="shared" ca="1" si="120"/>
        <v>1952876.9456325399</v>
      </c>
      <c r="AF124" s="12">
        <f t="shared" ca="1" si="121"/>
        <v>2115489.9561036541</v>
      </c>
      <c r="AG124" s="12">
        <f t="shared" ca="1" si="122"/>
        <v>2474875.5510223703</v>
      </c>
      <c r="AH124" s="12">
        <f t="shared" ca="1" si="123"/>
        <v>2474875.5510223703</v>
      </c>
    </row>
    <row r="125" spans="2:34" x14ac:dyDescent="0.25">
      <c r="B125" s="6">
        <v>109</v>
      </c>
      <c r="D125" s="12">
        <f t="shared" ca="1" si="93"/>
        <v>228095.05489514756</v>
      </c>
      <c r="E125" s="12">
        <f t="shared" ca="1" si="94"/>
        <v>263301.75697017426</v>
      </c>
      <c r="F125" s="12">
        <f t="shared" ca="1" si="95"/>
        <v>273809.85584269691</v>
      </c>
      <c r="G125" s="12">
        <f t="shared" ca="1" si="96"/>
        <v>310052.52887662267</v>
      </c>
      <c r="H125" s="12">
        <f t="shared" ca="1" si="97"/>
        <v>364329.37062622356</v>
      </c>
      <c r="I125" s="12">
        <f t="shared" ca="1" si="98"/>
        <v>427187.12899813661</v>
      </c>
      <c r="J125" s="12">
        <f t="shared" ca="1" si="99"/>
        <v>443207.83040723973</v>
      </c>
      <c r="K125" s="12">
        <f t="shared" ca="1" si="100"/>
        <v>548952.31666626001</v>
      </c>
      <c r="L125" s="12">
        <f t="shared" ca="1" si="101"/>
        <v>690036.896921832</v>
      </c>
      <c r="M125" s="12">
        <f t="shared" ca="1" si="102"/>
        <v>819461.14651837235</v>
      </c>
      <c r="N125" s="12">
        <f t="shared" ca="1" si="103"/>
        <v>769838.80960800941</v>
      </c>
      <c r="O125" s="12">
        <f t="shared" ca="1" si="104"/>
        <v>829062.89477086626</v>
      </c>
      <c r="P125" s="12">
        <f t="shared" ca="1" si="105"/>
        <v>849120.27900392248</v>
      </c>
      <c r="Q125" s="12">
        <f t="shared" ca="1" si="106"/>
        <v>887342.47917306132</v>
      </c>
      <c r="R125" s="12">
        <f t="shared" ca="1" si="107"/>
        <v>937729.99350421201</v>
      </c>
      <c r="S125" s="12">
        <f t="shared" ca="1" si="108"/>
        <v>1077498.2698720822</v>
      </c>
      <c r="T125" s="12">
        <f t="shared" ca="1" si="109"/>
        <v>1196778.7633317828</v>
      </c>
      <c r="U125" s="12">
        <f t="shared" ca="1" si="110"/>
        <v>1291024.4212535545</v>
      </c>
      <c r="V125" s="12">
        <f t="shared" ca="1" si="111"/>
        <v>1327085.130542659</v>
      </c>
      <c r="W125" s="12">
        <f t="shared" ca="1" si="112"/>
        <v>1478705.1231035865</v>
      </c>
      <c r="X125" s="12">
        <f t="shared" ca="1" si="113"/>
        <v>1496233.6797637648</v>
      </c>
      <c r="Y125" s="12">
        <f t="shared" ca="1" si="114"/>
        <v>1494457.2880308239</v>
      </c>
      <c r="Z125" s="12">
        <f t="shared" ca="1" si="115"/>
        <v>1547164.7288478503</v>
      </c>
      <c r="AA125" s="12">
        <f t="shared" ca="1" si="116"/>
        <v>1497811.1807993655</v>
      </c>
      <c r="AB125" s="12">
        <f t="shared" ca="1" si="117"/>
        <v>1514423.2707153086</v>
      </c>
      <c r="AC125" s="12">
        <f t="shared" ca="1" si="118"/>
        <v>1594948.3825771741</v>
      </c>
      <c r="AD125" s="12">
        <f t="shared" ca="1" si="119"/>
        <v>1772166.9872539053</v>
      </c>
      <c r="AE125" s="12">
        <f t="shared" ca="1" si="120"/>
        <v>1725006.5853816993</v>
      </c>
      <c r="AF125" s="12">
        <f t="shared" ca="1" si="121"/>
        <v>1664330.6796788771</v>
      </c>
      <c r="AG125" s="12">
        <f t="shared" ca="1" si="122"/>
        <v>1681278.4297964678</v>
      </c>
      <c r="AH125" s="12">
        <f t="shared" ca="1" si="123"/>
        <v>1681278.4297964678</v>
      </c>
    </row>
    <row r="126" spans="2:34" x14ac:dyDescent="0.25">
      <c r="B126" s="6">
        <v>110</v>
      </c>
      <c r="D126" s="12">
        <f t="shared" ca="1" si="93"/>
        <v>178216.30060663138</v>
      </c>
      <c r="E126" s="12">
        <f t="shared" ca="1" si="94"/>
        <v>218544.08087165316</v>
      </c>
      <c r="F126" s="12">
        <f t="shared" ca="1" si="95"/>
        <v>265684.41531304165</v>
      </c>
      <c r="G126" s="12">
        <f t="shared" ca="1" si="96"/>
        <v>313391.99903297692</v>
      </c>
      <c r="H126" s="12">
        <f t="shared" ca="1" si="97"/>
        <v>381316.09041464364</v>
      </c>
      <c r="I126" s="12">
        <f t="shared" ca="1" si="98"/>
        <v>409383.20878948661</v>
      </c>
      <c r="J126" s="12">
        <f t="shared" ca="1" si="99"/>
        <v>552326.41711907974</v>
      </c>
      <c r="K126" s="12">
        <f t="shared" ca="1" si="100"/>
        <v>636437.63248176035</v>
      </c>
      <c r="L126" s="12">
        <f t="shared" ca="1" si="101"/>
        <v>779113.20707548736</v>
      </c>
      <c r="M126" s="12">
        <f t="shared" ca="1" si="102"/>
        <v>823519.55426177743</v>
      </c>
      <c r="N126" s="12">
        <f t="shared" ca="1" si="103"/>
        <v>855371.16377728991</v>
      </c>
      <c r="O126" s="12">
        <f t="shared" ca="1" si="104"/>
        <v>959573.66895525262</v>
      </c>
      <c r="P126" s="12">
        <f t="shared" ca="1" si="105"/>
        <v>1154533.2323638662</v>
      </c>
      <c r="Q126" s="12">
        <f t="shared" ca="1" si="106"/>
        <v>1243592.3641773702</v>
      </c>
      <c r="R126" s="12">
        <f t="shared" ca="1" si="107"/>
        <v>1241999.5631576173</v>
      </c>
      <c r="S126" s="12">
        <f t="shared" ca="1" si="108"/>
        <v>1329199.5282874096</v>
      </c>
      <c r="T126" s="12">
        <f t="shared" ca="1" si="109"/>
        <v>1485238.9935887165</v>
      </c>
      <c r="U126" s="12">
        <f t="shared" ca="1" si="110"/>
        <v>1737427.6891086961</v>
      </c>
      <c r="V126" s="12">
        <f t="shared" ca="1" si="111"/>
        <v>1789715.6643297207</v>
      </c>
      <c r="W126" s="12">
        <f t="shared" ca="1" si="112"/>
        <v>1746650.5231007719</v>
      </c>
      <c r="X126" s="12">
        <f t="shared" ca="1" si="113"/>
        <v>2124996.0990985399</v>
      </c>
      <c r="Y126" s="12">
        <f t="shared" ca="1" si="114"/>
        <v>2607896.8028908568</v>
      </c>
      <c r="Z126" s="12">
        <f t="shared" ca="1" si="115"/>
        <v>2907869.2350249276</v>
      </c>
      <c r="AA126" s="12">
        <f t="shared" ca="1" si="116"/>
        <v>3485782.589179019</v>
      </c>
      <c r="AB126" s="12">
        <f t="shared" ca="1" si="117"/>
        <v>4470947.7508808179</v>
      </c>
      <c r="AC126" s="12">
        <f t="shared" ca="1" si="118"/>
        <v>4732101.53142149</v>
      </c>
      <c r="AD126" s="12">
        <f t="shared" ca="1" si="119"/>
        <v>5610081.5956151811</v>
      </c>
      <c r="AE126" s="12">
        <f t="shared" ca="1" si="120"/>
        <v>6375496.5971296141</v>
      </c>
      <c r="AF126" s="12">
        <f t="shared" ca="1" si="121"/>
        <v>6866457.9029475469</v>
      </c>
      <c r="AG126" s="12">
        <f t="shared" ca="1" si="122"/>
        <v>5808317.0565383909</v>
      </c>
      <c r="AH126" s="12">
        <f t="shared" ca="1" si="123"/>
        <v>5808317.0565383909</v>
      </c>
    </row>
    <row r="127" spans="2:34" x14ac:dyDescent="0.25">
      <c r="B127" s="6">
        <v>111</v>
      </c>
      <c r="D127" s="12">
        <f t="shared" ca="1" si="93"/>
        <v>172041.50592867122</v>
      </c>
      <c r="E127" s="12">
        <f t="shared" ca="1" si="94"/>
        <v>205486.60357232229</v>
      </c>
      <c r="F127" s="12">
        <f t="shared" ca="1" si="95"/>
        <v>225255.92427094345</v>
      </c>
      <c r="G127" s="12">
        <f t="shared" ca="1" si="96"/>
        <v>232637.97403849551</v>
      </c>
      <c r="H127" s="12">
        <f t="shared" ca="1" si="97"/>
        <v>263728.66202747053</v>
      </c>
      <c r="I127" s="12">
        <f t="shared" ca="1" si="98"/>
        <v>225390.83132228206</v>
      </c>
      <c r="J127" s="12">
        <f t="shared" ca="1" si="99"/>
        <v>260077.08057076315</v>
      </c>
      <c r="K127" s="12">
        <f t="shared" ca="1" si="100"/>
        <v>324276.37026135414</v>
      </c>
      <c r="L127" s="12">
        <f t="shared" ca="1" si="101"/>
        <v>425763.78370667977</v>
      </c>
      <c r="M127" s="12">
        <f t="shared" ca="1" si="102"/>
        <v>503943.05837375589</v>
      </c>
      <c r="N127" s="12">
        <f t="shared" ca="1" si="103"/>
        <v>567524.92796442367</v>
      </c>
      <c r="O127" s="12">
        <f t="shared" ca="1" si="104"/>
        <v>746154.36816117947</v>
      </c>
      <c r="P127" s="12">
        <f t="shared" ca="1" si="105"/>
        <v>836223.28070047928</v>
      </c>
      <c r="Q127" s="12">
        <f t="shared" ca="1" si="106"/>
        <v>990961.77648099593</v>
      </c>
      <c r="R127" s="12">
        <f t="shared" ca="1" si="107"/>
        <v>1124019.0322273027</v>
      </c>
      <c r="S127" s="12">
        <f t="shared" ca="1" si="108"/>
        <v>1403195.2915059654</v>
      </c>
      <c r="T127" s="12">
        <f t="shared" ca="1" si="109"/>
        <v>1435804.1831490877</v>
      </c>
      <c r="U127" s="12">
        <f t="shared" ca="1" si="110"/>
        <v>1544472.2592326836</v>
      </c>
      <c r="V127" s="12">
        <f t="shared" ca="1" si="111"/>
        <v>1566384.1528311488</v>
      </c>
      <c r="W127" s="12">
        <f t="shared" ca="1" si="112"/>
        <v>1970821.4809474074</v>
      </c>
      <c r="X127" s="12">
        <f t="shared" ca="1" si="113"/>
        <v>2004016.2791318914</v>
      </c>
      <c r="Y127" s="12">
        <f t="shared" ca="1" si="114"/>
        <v>2179462.7525419714</v>
      </c>
      <c r="Z127" s="12">
        <f t="shared" ca="1" si="115"/>
        <v>2087278.6448226576</v>
      </c>
      <c r="AA127" s="12">
        <f t="shared" ca="1" si="116"/>
        <v>2134914.3667695066</v>
      </c>
      <c r="AB127" s="12">
        <f t="shared" ca="1" si="117"/>
        <v>2721133.6567154741</v>
      </c>
      <c r="AC127" s="12">
        <f t="shared" ca="1" si="118"/>
        <v>2329550.9989575092</v>
      </c>
      <c r="AD127" s="12">
        <f t="shared" ca="1" si="119"/>
        <v>2237210.9018162843</v>
      </c>
      <c r="AE127" s="12">
        <f t="shared" ca="1" si="120"/>
        <v>2044714.1260536877</v>
      </c>
      <c r="AF127" s="12">
        <f t="shared" ca="1" si="121"/>
        <v>2374619.6144805383</v>
      </c>
      <c r="AG127" s="12">
        <f t="shared" ca="1" si="122"/>
        <v>2566144.3488769424</v>
      </c>
      <c r="AH127" s="12">
        <f t="shared" ca="1" si="123"/>
        <v>2566144.3488769424</v>
      </c>
    </row>
    <row r="128" spans="2:34" x14ac:dyDescent="0.25">
      <c r="B128" s="6">
        <v>112</v>
      </c>
      <c r="D128" s="12">
        <f t="shared" ca="1" si="93"/>
        <v>209388.59228801474</v>
      </c>
      <c r="E128" s="12">
        <f t="shared" ca="1" si="94"/>
        <v>212520.97154208057</v>
      </c>
      <c r="F128" s="12">
        <f t="shared" ca="1" si="95"/>
        <v>214254.04622454589</v>
      </c>
      <c r="G128" s="12">
        <f t="shared" ca="1" si="96"/>
        <v>255164.19060529061</v>
      </c>
      <c r="H128" s="12">
        <f t="shared" ca="1" si="97"/>
        <v>312163.31799070357</v>
      </c>
      <c r="I128" s="12">
        <f t="shared" ca="1" si="98"/>
        <v>298808.2341202005</v>
      </c>
      <c r="J128" s="12">
        <f t="shared" ca="1" si="99"/>
        <v>299026.04691165668</v>
      </c>
      <c r="K128" s="12">
        <f t="shared" ca="1" si="100"/>
        <v>339849.33383114706</v>
      </c>
      <c r="L128" s="12">
        <f t="shared" ca="1" si="101"/>
        <v>329688.42985148402</v>
      </c>
      <c r="M128" s="12">
        <f t="shared" ca="1" si="102"/>
        <v>371019.80801829533</v>
      </c>
      <c r="N128" s="12">
        <f t="shared" ca="1" si="103"/>
        <v>421707.48451858049</v>
      </c>
      <c r="O128" s="12">
        <f t="shared" ca="1" si="104"/>
        <v>468885.51176187763</v>
      </c>
      <c r="P128" s="12">
        <f t="shared" ca="1" si="105"/>
        <v>531844.36313974613</v>
      </c>
      <c r="Q128" s="12">
        <f t="shared" ca="1" si="106"/>
        <v>578167.97076879977</v>
      </c>
      <c r="R128" s="12">
        <f t="shared" ca="1" si="107"/>
        <v>559448.37857808161</v>
      </c>
      <c r="S128" s="12">
        <f t="shared" ca="1" si="108"/>
        <v>527430.18704660493</v>
      </c>
      <c r="T128" s="12">
        <f t="shared" ca="1" si="109"/>
        <v>615562.45112910704</v>
      </c>
      <c r="U128" s="12">
        <f t="shared" ca="1" si="110"/>
        <v>679696.74696299795</v>
      </c>
      <c r="V128" s="12">
        <f t="shared" ca="1" si="111"/>
        <v>690076.64950431325</v>
      </c>
      <c r="W128" s="12">
        <f t="shared" ca="1" si="112"/>
        <v>756253.13926623203</v>
      </c>
      <c r="X128" s="12">
        <f t="shared" ca="1" si="113"/>
        <v>732821.23832674348</v>
      </c>
      <c r="Y128" s="12">
        <f t="shared" ca="1" si="114"/>
        <v>809429.15656232671</v>
      </c>
      <c r="Z128" s="12">
        <f t="shared" ca="1" si="115"/>
        <v>891819.57081707532</v>
      </c>
      <c r="AA128" s="12">
        <f t="shared" ca="1" si="116"/>
        <v>1063300.7565550532</v>
      </c>
      <c r="AB128" s="12">
        <f t="shared" ca="1" si="117"/>
        <v>1142728.0147281161</v>
      </c>
      <c r="AC128" s="12">
        <f t="shared" ca="1" si="118"/>
        <v>1390612.4912970331</v>
      </c>
      <c r="AD128" s="12">
        <f t="shared" ca="1" si="119"/>
        <v>1499803.3129476574</v>
      </c>
      <c r="AE128" s="12">
        <f t="shared" ca="1" si="120"/>
        <v>1967896.1357825503</v>
      </c>
      <c r="AF128" s="12">
        <f t="shared" ca="1" si="121"/>
        <v>2327554.7145781443</v>
      </c>
      <c r="AG128" s="12">
        <f t="shared" ca="1" si="122"/>
        <v>2667104.6955632488</v>
      </c>
      <c r="AH128" s="12">
        <f t="shared" ca="1" si="123"/>
        <v>2667104.6955632488</v>
      </c>
    </row>
    <row r="129" spans="2:34" x14ac:dyDescent="0.25">
      <c r="B129" s="6">
        <v>113</v>
      </c>
      <c r="D129" s="12">
        <f t="shared" ca="1" si="93"/>
        <v>126123.89380524035</v>
      </c>
      <c r="E129" s="12">
        <f t="shared" ca="1" si="94"/>
        <v>130371.54613614322</v>
      </c>
      <c r="F129" s="12">
        <f t="shared" ca="1" si="95"/>
        <v>130330.87995073348</v>
      </c>
      <c r="G129" s="12">
        <f t="shared" ca="1" si="96"/>
        <v>159385.88030238845</v>
      </c>
      <c r="H129" s="12">
        <f t="shared" ca="1" si="97"/>
        <v>189706.30021020543</v>
      </c>
      <c r="I129" s="12">
        <f t="shared" ca="1" si="98"/>
        <v>211823.1095866567</v>
      </c>
      <c r="J129" s="12">
        <f t="shared" ca="1" si="99"/>
        <v>204143.61505422369</v>
      </c>
      <c r="K129" s="12">
        <f t="shared" ca="1" si="100"/>
        <v>232958.9908975474</v>
      </c>
      <c r="L129" s="12">
        <f t="shared" ca="1" si="101"/>
        <v>253134.57702603115</v>
      </c>
      <c r="M129" s="12">
        <f t="shared" ca="1" si="102"/>
        <v>233768.9153157433</v>
      </c>
      <c r="N129" s="12">
        <f t="shared" ca="1" si="103"/>
        <v>227774.79625445648</v>
      </c>
      <c r="O129" s="12">
        <f t="shared" ca="1" si="104"/>
        <v>296562.96210507117</v>
      </c>
      <c r="P129" s="12">
        <f t="shared" ca="1" si="105"/>
        <v>316098.65888608346</v>
      </c>
      <c r="Q129" s="12">
        <f t="shared" ca="1" si="106"/>
        <v>429391.91746194748</v>
      </c>
      <c r="R129" s="12">
        <f t="shared" ca="1" si="107"/>
        <v>532025.95001830754</v>
      </c>
      <c r="S129" s="12">
        <f t="shared" ca="1" si="108"/>
        <v>558501.25737417792</v>
      </c>
      <c r="T129" s="12">
        <f t="shared" ca="1" si="109"/>
        <v>546221.95031107776</v>
      </c>
      <c r="U129" s="12">
        <f t="shared" ca="1" si="110"/>
        <v>671972.67513287137</v>
      </c>
      <c r="V129" s="12">
        <f t="shared" ca="1" si="111"/>
        <v>727240.235729106</v>
      </c>
      <c r="W129" s="12">
        <f t="shared" ca="1" si="112"/>
        <v>722527.9394082909</v>
      </c>
      <c r="X129" s="12">
        <f t="shared" ca="1" si="113"/>
        <v>830736.93236373574</v>
      </c>
      <c r="Y129" s="12">
        <f t="shared" ca="1" si="114"/>
        <v>745173.52836370608</v>
      </c>
      <c r="Z129" s="12">
        <f t="shared" ca="1" si="115"/>
        <v>910958.21853050764</v>
      </c>
      <c r="AA129" s="12">
        <f t="shared" ca="1" si="116"/>
        <v>1109590.1284932406</v>
      </c>
      <c r="AB129" s="12">
        <f t="shared" ca="1" si="117"/>
        <v>1281052.8948763299</v>
      </c>
      <c r="AC129" s="12">
        <f t="shared" ca="1" si="118"/>
        <v>1201986.5926365664</v>
      </c>
      <c r="AD129" s="12">
        <f t="shared" ca="1" si="119"/>
        <v>1342164.8486967864</v>
      </c>
      <c r="AE129" s="12">
        <f t="shared" ca="1" si="120"/>
        <v>1813929.3811131977</v>
      </c>
      <c r="AF129" s="12">
        <f t="shared" ca="1" si="121"/>
        <v>1889484.3357557829</v>
      </c>
      <c r="AG129" s="12">
        <f t="shared" ca="1" si="122"/>
        <v>1775224.2701217071</v>
      </c>
      <c r="AH129" s="12">
        <f t="shared" ca="1" si="123"/>
        <v>1775224.2701217071</v>
      </c>
    </row>
    <row r="130" spans="2:34" x14ac:dyDescent="0.25">
      <c r="B130" s="6">
        <v>114</v>
      </c>
      <c r="D130" s="12">
        <f t="shared" ca="1" si="93"/>
        <v>152720.3178392667</v>
      </c>
      <c r="E130" s="12">
        <f t="shared" ca="1" si="94"/>
        <v>191357.15333974676</v>
      </c>
      <c r="F130" s="12">
        <f t="shared" ca="1" si="95"/>
        <v>264752.07298800629</v>
      </c>
      <c r="G130" s="12">
        <f t="shared" ca="1" si="96"/>
        <v>297227.64611099404</v>
      </c>
      <c r="H130" s="12">
        <f t="shared" ca="1" si="97"/>
        <v>300435.75920413196</v>
      </c>
      <c r="I130" s="12">
        <f t="shared" ca="1" si="98"/>
        <v>330733.76030143542</v>
      </c>
      <c r="J130" s="12">
        <f t="shared" ca="1" si="99"/>
        <v>373362.08722062816</v>
      </c>
      <c r="K130" s="12">
        <f t="shared" ca="1" si="100"/>
        <v>425964.95385163958</v>
      </c>
      <c r="L130" s="12">
        <f t="shared" ca="1" si="101"/>
        <v>401155.18473623012</v>
      </c>
      <c r="M130" s="12">
        <f t="shared" ca="1" si="102"/>
        <v>514862.05903278658</v>
      </c>
      <c r="N130" s="12">
        <f t="shared" ca="1" si="103"/>
        <v>609283.50065241463</v>
      </c>
      <c r="O130" s="12">
        <f t="shared" ca="1" si="104"/>
        <v>686576.9911538451</v>
      </c>
      <c r="P130" s="12">
        <f t="shared" ca="1" si="105"/>
        <v>741585.34002954792</v>
      </c>
      <c r="Q130" s="12">
        <f t="shared" ca="1" si="106"/>
        <v>803799.82870257751</v>
      </c>
      <c r="R130" s="12">
        <f t="shared" ca="1" si="107"/>
        <v>922587.99288291635</v>
      </c>
      <c r="S130" s="12">
        <f t="shared" ca="1" si="108"/>
        <v>958065.28514409601</v>
      </c>
      <c r="T130" s="12">
        <f t="shared" ca="1" si="109"/>
        <v>863458.48018607032</v>
      </c>
      <c r="U130" s="12">
        <f t="shared" ca="1" si="110"/>
        <v>997499.67072291055</v>
      </c>
      <c r="V130" s="12">
        <f t="shared" ca="1" si="111"/>
        <v>1345242.36725688</v>
      </c>
      <c r="W130" s="12">
        <f t="shared" ca="1" si="112"/>
        <v>1761812.5383830366</v>
      </c>
      <c r="X130" s="12">
        <f t="shared" ca="1" si="113"/>
        <v>2084805.7023905669</v>
      </c>
      <c r="Y130" s="12">
        <f t="shared" ca="1" si="114"/>
        <v>2022988.5972687253</v>
      </c>
      <c r="Z130" s="12">
        <f t="shared" ca="1" si="115"/>
        <v>2281457.3721201085</v>
      </c>
      <c r="AA130" s="12">
        <f t="shared" ca="1" si="116"/>
        <v>2218985.2276893607</v>
      </c>
      <c r="AB130" s="12">
        <f t="shared" ca="1" si="117"/>
        <v>2628801.6503687734</v>
      </c>
      <c r="AC130" s="12">
        <f t="shared" ca="1" si="118"/>
        <v>1282205.4314163749</v>
      </c>
      <c r="AD130" s="12">
        <f t="shared" ca="1" si="119"/>
        <v>1328566.4709935642</v>
      </c>
      <c r="AE130" s="12">
        <f t="shared" ca="1" si="120"/>
        <v>1546177.9122096621</v>
      </c>
      <c r="AF130" s="12">
        <f t="shared" ca="1" si="121"/>
        <v>1798280.8182013896</v>
      </c>
      <c r="AG130" s="12">
        <f t="shared" ca="1" si="122"/>
        <v>2185310.7562723085</v>
      </c>
      <c r="AH130" s="12">
        <f t="shared" ca="1" si="123"/>
        <v>2185310.7562723085</v>
      </c>
    </row>
    <row r="131" spans="2:34" x14ac:dyDescent="0.25">
      <c r="B131" s="6">
        <v>115</v>
      </c>
      <c r="D131" s="12">
        <f t="shared" ca="1" si="93"/>
        <v>209090.30475458654</v>
      </c>
      <c r="E131" s="12">
        <f t="shared" ca="1" si="94"/>
        <v>210518.32893910701</v>
      </c>
      <c r="F131" s="12">
        <f t="shared" ca="1" si="95"/>
        <v>227424.27074741095</v>
      </c>
      <c r="G131" s="12">
        <f t="shared" ca="1" si="96"/>
        <v>262184.46616099164</v>
      </c>
      <c r="H131" s="12">
        <f t="shared" ca="1" si="97"/>
        <v>316890.51915966347</v>
      </c>
      <c r="I131" s="12">
        <f t="shared" ca="1" si="98"/>
        <v>344804.37023151125</v>
      </c>
      <c r="J131" s="12">
        <f t="shared" ca="1" si="99"/>
        <v>402164.09417252609</v>
      </c>
      <c r="K131" s="12">
        <f t="shared" ca="1" si="100"/>
        <v>436744.74659957725</v>
      </c>
      <c r="L131" s="12">
        <f t="shared" ca="1" si="101"/>
        <v>511159.96802722465</v>
      </c>
      <c r="M131" s="12">
        <f t="shared" ca="1" si="102"/>
        <v>434135.01361906499</v>
      </c>
      <c r="N131" s="12">
        <f t="shared" ca="1" si="103"/>
        <v>390140.78394519055</v>
      </c>
      <c r="O131" s="12">
        <f t="shared" ca="1" si="104"/>
        <v>487803.26016977848</v>
      </c>
      <c r="P131" s="12">
        <f t="shared" ca="1" si="105"/>
        <v>595429.10274186463</v>
      </c>
      <c r="Q131" s="12">
        <f t="shared" ca="1" si="106"/>
        <v>580608.48758449056</v>
      </c>
      <c r="R131" s="12">
        <f t="shared" ca="1" si="107"/>
        <v>636791.02429235668</v>
      </c>
      <c r="S131" s="12">
        <f t="shared" ca="1" si="108"/>
        <v>789869.23648707278</v>
      </c>
      <c r="T131" s="12">
        <f t="shared" ca="1" si="109"/>
        <v>843811.36427292391</v>
      </c>
      <c r="U131" s="12">
        <f t="shared" ca="1" si="110"/>
        <v>973254.33530920872</v>
      </c>
      <c r="V131" s="12">
        <f t="shared" ca="1" si="111"/>
        <v>1152592.9262948816</v>
      </c>
      <c r="W131" s="12">
        <f t="shared" ca="1" si="112"/>
        <v>1474915.796975208</v>
      </c>
      <c r="X131" s="12">
        <f t="shared" ca="1" si="113"/>
        <v>1265640.9960624531</v>
      </c>
      <c r="Y131" s="12">
        <f t="shared" ca="1" si="114"/>
        <v>1342397.8811111853</v>
      </c>
      <c r="Z131" s="12">
        <f t="shared" ca="1" si="115"/>
        <v>1310550.7958615765</v>
      </c>
      <c r="AA131" s="12">
        <f t="shared" ca="1" si="116"/>
        <v>1452108.4787523013</v>
      </c>
      <c r="AB131" s="12">
        <f t="shared" ca="1" si="117"/>
        <v>1635876.6035940179</v>
      </c>
      <c r="AC131" s="12">
        <f t="shared" ca="1" si="118"/>
        <v>2098672.8093190989</v>
      </c>
      <c r="AD131" s="12">
        <f t="shared" ca="1" si="119"/>
        <v>2343691.7430695971</v>
      </c>
      <c r="AE131" s="12">
        <f t="shared" ca="1" si="120"/>
        <v>2232029.48790232</v>
      </c>
      <c r="AF131" s="12">
        <f t="shared" ca="1" si="121"/>
        <v>2797682.3286640467</v>
      </c>
      <c r="AG131" s="12">
        <f t="shared" ca="1" si="122"/>
        <v>2818911.248593227</v>
      </c>
      <c r="AH131" s="12">
        <f t="shared" ca="1" si="123"/>
        <v>2818911.248593227</v>
      </c>
    </row>
    <row r="132" spans="2:34" x14ac:dyDescent="0.25">
      <c r="B132" s="6">
        <v>116</v>
      </c>
      <c r="D132" s="12">
        <f t="shared" ca="1" si="93"/>
        <v>188693.87402480724</v>
      </c>
      <c r="E132" s="12">
        <f t="shared" ca="1" si="94"/>
        <v>225386.47652639908</v>
      </c>
      <c r="F132" s="12">
        <f t="shared" ca="1" si="95"/>
        <v>230781.43093354735</v>
      </c>
      <c r="G132" s="12">
        <f t="shared" ca="1" si="96"/>
        <v>243031.81798871609</v>
      </c>
      <c r="H132" s="12">
        <f t="shared" ca="1" si="97"/>
        <v>298209.71024880838</v>
      </c>
      <c r="I132" s="12">
        <f t="shared" ca="1" si="98"/>
        <v>364303.21736763301</v>
      </c>
      <c r="J132" s="12">
        <f t="shared" ca="1" si="99"/>
        <v>420510.42474012892</v>
      </c>
      <c r="K132" s="12">
        <f t="shared" ca="1" si="100"/>
        <v>486624.14394140942</v>
      </c>
      <c r="L132" s="12">
        <f t="shared" ca="1" si="101"/>
        <v>401531.44135619199</v>
      </c>
      <c r="M132" s="12">
        <f t="shared" ca="1" si="102"/>
        <v>402730.51286625763</v>
      </c>
      <c r="N132" s="12">
        <f t="shared" ca="1" si="103"/>
        <v>432208.80971657718</v>
      </c>
      <c r="O132" s="12">
        <f t="shared" ca="1" si="104"/>
        <v>425984.76403087116</v>
      </c>
      <c r="P132" s="12">
        <f t="shared" ca="1" si="105"/>
        <v>473921.61755492486</v>
      </c>
      <c r="Q132" s="12">
        <f t="shared" ca="1" si="106"/>
        <v>459779.94066750346</v>
      </c>
      <c r="R132" s="12">
        <f t="shared" ca="1" si="107"/>
        <v>498497.5111210476</v>
      </c>
      <c r="S132" s="12">
        <f t="shared" ca="1" si="108"/>
        <v>476106.14102727111</v>
      </c>
      <c r="T132" s="12">
        <f t="shared" ca="1" si="109"/>
        <v>595886.04203696316</v>
      </c>
      <c r="U132" s="12">
        <f t="shared" ca="1" si="110"/>
        <v>685479.24134267005</v>
      </c>
      <c r="V132" s="12">
        <f t="shared" ca="1" si="111"/>
        <v>809925.66062738607</v>
      </c>
      <c r="W132" s="12">
        <f t="shared" ca="1" si="112"/>
        <v>872466.47047935089</v>
      </c>
      <c r="X132" s="12">
        <f t="shared" ca="1" si="113"/>
        <v>900545.20479340397</v>
      </c>
      <c r="Y132" s="12">
        <f t="shared" ca="1" si="114"/>
        <v>1137859.3583997763</v>
      </c>
      <c r="Z132" s="12">
        <f t="shared" ca="1" si="115"/>
        <v>1266896.2702445707</v>
      </c>
      <c r="AA132" s="12">
        <f t="shared" ca="1" si="116"/>
        <v>957299.89489818749</v>
      </c>
      <c r="AB132" s="12">
        <f t="shared" ca="1" si="117"/>
        <v>974470.76986168278</v>
      </c>
      <c r="AC132" s="12">
        <f t="shared" ca="1" si="118"/>
        <v>875865.2093706032</v>
      </c>
      <c r="AD132" s="12">
        <f t="shared" ca="1" si="119"/>
        <v>1065490.9475721028</v>
      </c>
      <c r="AE132" s="12">
        <f t="shared" ca="1" si="120"/>
        <v>1134723.5758626796</v>
      </c>
      <c r="AF132" s="12">
        <f t="shared" ca="1" si="121"/>
        <v>1546399.2024736868</v>
      </c>
      <c r="AG132" s="12">
        <f t="shared" ca="1" si="122"/>
        <v>1714473.1094917969</v>
      </c>
      <c r="AH132" s="12">
        <f t="shared" ca="1" si="123"/>
        <v>1714473.1094917969</v>
      </c>
    </row>
    <row r="133" spans="2:34" x14ac:dyDescent="0.25">
      <c r="B133" s="6">
        <v>117</v>
      </c>
      <c r="D133" s="12">
        <f t="shared" ca="1" si="93"/>
        <v>194103.30032930805</v>
      </c>
      <c r="E133" s="12">
        <f t="shared" ca="1" si="94"/>
        <v>213249.46069648286</v>
      </c>
      <c r="F133" s="12">
        <f t="shared" ca="1" si="95"/>
        <v>272704.28441534139</v>
      </c>
      <c r="G133" s="12">
        <f t="shared" ca="1" si="96"/>
        <v>300253.03299069934</v>
      </c>
      <c r="H133" s="12">
        <f t="shared" ca="1" si="97"/>
        <v>435507.66395223991</v>
      </c>
      <c r="I133" s="12">
        <f t="shared" ca="1" si="98"/>
        <v>448184.75664967264</v>
      </c>
      <c r="J133" s="12">
        <f t="shared" ca="1" si="99"/>
        <v>479922.08498464193</v>
      </c>
      <c r="K133" s="12">
        <f t="shared" ca="1" si="100"/>
        <v>587995.37999225024</v>
      </c>
      <c r="L133" s="12">
        <f t="shared" ca="1" si="101"/>
        <v>736105.1496739015</v>
      </c>
      <c r="M133" s="12">
        <f t="shared" ca="1" si="102"/>
        <v>718703.34083565092</v>
      </c>
      <c r="N133" s="12">
        <f t="shared" ca="1" si="103"/>
        <v>820258.78812870511</v>
      </c>
      <c r="O133" s="12">
        <f t="shared" ca="1" si="104"/>
        <v>1036206.8856895155</v>
      </c>
      <c r="P133" s="12">
        <f t="shared" ca="1" si="105"/>
        <v>1152864.3299106278</v>
      </c>
      <c r="Q133" s="12">
        <f t="shared" ca="1" si="106"/>
        <v>1293676.3017517459</v>
      </c>
      <c r="R133" s="12">
        <f t="shared" ca="1" si="107"/>
        <v>1233537.7020216619</v>
      </c>
      <c r="S133" s="12">
        <f t="shared" ca="1" si="108"/>
        <v>1443500.7175242186</v>
      </c>
      <c r="T133" s="12">
        <f t="shared" ca="1" si="109"/>
        <v>1854553.5160449015</v>
      </c>
      <c r="U133" s="12">
        <f t="shared" ca="1" si="110"/>
        <v>1993829.2260101645</v>
      </c>
      <c r="V133" s="12">
        <f t="shared" ca="1" si="111"/>
        <v>2127178.6222864646</v>
      </c>
      <c r="W133" s="12">
        <f t="shared" ca="1" si="112"/>
        <v>2707047.7217184971</v>
      </c>
      <c r="X133" s="12">
        <f t="shared" ca="1" si="113"/>
        <v>2579986.812532282</v>
      </c>
      <c r="Y133" s="12">
        <f t="shared" ca="1" si="114"/>
        <v>2205755.8062972287</v>
      </c>
      <c r="Z133" s="12">
        <f t="shared" ca="1" si="115"/>
        <v>2119175.2724369764</v>
      </c>
      <c r="AA133" s="12">
        <f t="shared" ca="1" si="116"/>
        <v>2610830.9847852574</v>
      </c>
      <c r="AB133" s="12">
        <f t="shared" ca="1" si="117"/>
        <v>2104169.4813978528</v>
      </c>
      <c r="AC133" s="12">
        <f t="shared" ca="1" si="118"/>
        <v>2298461.69223801</v>
      </c>
      <c r="AD133" s="12">
        <f t="shared" ca="1" si="119"/>
        <v>2757903.9651790294</v>
      </c>
      <c r="AE133" s="12">
        <f t="shared" ca="1" si="120"/>
        <v>2745235.5967066353</v>
      </c>
      <c r="AF133" s="12">
        <f t="shared" ca="1" si="121"/>
        <v>3013453.4211210371</v>
      </c>
      <c r="AG133" s="12">
        <f t="shared" ca="1" si="122"/>
        <v>3351942.7858114294</v>
      </c>
      <c r="AH133" s="12">
        <f t="shared" ca="1" si="123"/>
        <v>3351942.7858114294</v>
      </c>
    </row>
    <row r="134" spans="2:34" x14ac:dyDescent="0.25">
      <c r="B134" s="6">
        <v>118</v>
      </c>
      <c r="D134" s="12">
        <f t="shared" ca="1" si="93"/>
        <v>214970.48507794362</v>
      </c>
      <c r="E134" s="12">
        <f t="shared" ca="1" si="94"/>
        <v>206374.50999203039</v>
      </c>
      <c r="F134" s="12">
        <f t="shared" ca="1" si="95"/>
        <v>249061.94702771405</v>
      </c>
      <c r="G134" s="12">
        <f t="shared" ca="1" si="96"/>
        <v>237696.10831991359</v>
      </c>
      <c r="H134" s="12">
        <f t="shared" ca="1" si="97"/>
        <v>257765.16833870369</v>
      </c>
      <c r="I134" s="12">
        <f t="shared" ca="1" si="98"/>
        <v>280311.23073902883</v>
      </c>
      <c r="J134" s="12">
        <f t="shared" ca="1" si="99"/>
        <v>281498.66187239753</v>
      </c>
      <c r="K134" s="12">
        <f t="shared" ca="1" si="100"/>
        <v>322070.02494694281</v>
      </c>
      <c r="L134" s="12">
        <f t="shared" ca="1" si="101"/>
        <v>374492.47399618535</v>
      </c>
      <c r="M134" s="12">
        <f t="shared" ca="1" si="102"/>
        <v>466157.98449682852</v>
      </c>
      <c r="N134" s="12">
        <f t="shared" ca="1" si="103"/>
        <v>470264.87378988246</v>
      </c>
      <c r="O134" s="12">
        <f t="shared" ca="1" si="104"/>
        <v>527417.20405317191</v>
      </c>
      <c r="P134" s="12">
        <f t="shared" ca="1" si="105"/>
        <v>652906.09284395922</v>
      </c>
      <c r="Q134" s="12">
        <f t="shared" ca="1" si="106"/>
        <v>701381.22047294502</v>
      </c>
      <c r="R134" s="12">
        <f t="shared" ca="1" si="107"/>
        <v>778808.24192477437</v>
      </c>
      <c r="S134" s="12">
        <f t="shared" ca="1" si="108"/>
        <v>855901.90750290721</v>
      </c>
      <c r="T134" s="12">
        <f t="shared" ca="1" si="109"/>
        <v>1053842.7262784631</v>
      </c>
      <c r="U134" s="12">
        <f t="shared" ca="1" si="110"/>
        <v>951771.27325462957</v>
      </c>
      <c r="V134" s="12">
        <f t="shared" ca="1" si="111"/>
        <v>1087986.2109919207</v>
      </c>
      <c r="W134" s="12">
        <f t="shared" ca="1" si="112"/>
        <v>1331043.6077700914</v>
      </c>
      <c r="X134" s="12">
        <f t="shared" ca="1" si="113"/>
        <v>1190625.0821666555</v>
      </c>
      <c r="Y134" s="12">
        <f t="shared" ca="1" si="114"/>
        <v>1059000.85922403</v>
      </c>
      <c r="Z134" s="12">
        <f t="shared" ca="1" si="115"/>
        <v>1185512.9925428499</v>
      </c>
      <c r="AA134" s="12">
        <f t="shared" ca="1" si="116"/>
        <v>1206307.9685867124</v>
      </c>
      <c r="AB134" s="12">
        <f t="shared" ca="1" si="117"/>
        <v>1344518.4352684643</v>
      </c>
      <c r="AC134" s="12">
        <f t="shared" ca="1" si="118"/>
        <v>1408382.3399329663</v>
      </c>
      <c r="AD134" s="12">
        <f t="shared" ca="1" si="119"/>
        <v>1395089.634501047</v>
      </c>
      <c r="AE134" s="12">
        <f t="shared" ca="1" si="120"/>
        <v>1238566.0912210669</v>
      </c>
      <c r="AF134" s="12">
        <f t="shared" ca="1" si="121"/>
        <v>1288750.5690803349</v>
      </c>
      <c r="AG134" s="12">
        <f t="shared" ca="1" si="122"/>
        <v>1356853.2703922053</v>
      </c>
      <c r="AH134" s="12">
        <f t="shared" ca="1" si="123"/>
        <v>1356853.2703922053</v>
      </c>
    </row>
    <row r="135" spans="2:34" x14ac:dyDescent="0.25">
      <c r="B135" s="6">
        <v>119</v>
      </c>
      <c r="D135" s="12">
        <f t="shared" ca="1" si="93"/>
        <v>157275.05914412884</v>
      </c>
      <c r="E135" s="12">
        <f t="shared" ca="1" si="94"/>
        <v>166349.19500207796</v>
      </c>
      <c r="F135" s="12">
        <f t="shared" ca="1" si="95"/>
        <v>191163.35592396924</v>
      </c>
      <c r="G135" s="12">
        <f t="shared" ca="1" si="96"/>
        <v>248982.87703369686</v>
      </c>
      <c r="H135" s="12">
        <f t="shared" ca="1" si="97"/>
        <v>284073.44621676172</v>
      </c>
      <c r="I135" s="12">
        <f t="shared" ca="1" si="98"/>
        <v>226805.1564002111</v>
      </c>
      <c r="J135" s="12">
        <f t="shared" ca="1" si="99"/>
        <v>328034.25014992367</v>
      </c>
      <c r="K135" s="12">
        <f t="shared" ca="1" si="100"/>
        <v>411766.38081816927</v>
      </c>
      <c r="L135" s="12">
        <f t="shared" ca="1" si="101"/>
        <v>522849.26362867048</v>
      </c>
      <c r="M135" s="12">
        <f t="shared" ca="1" si="102"/>
        <v>661411.18429659819</v>
      </c>
      <c r="N135" s="12">
        <f t="shared" ca="1" si="103"/>
        <v>889120.52193955344</v>
      </c>
      <c r="O135" s="12">
        <f t="shared" ca="1" si="104"/>
        <v>1109931.1403855635</v>
      </c>
      <c r="P135" s="12">
        <f t="shared" ca="1" si="105"/>
        <v>1205237.5472643934</v>
      </c>
      <c r="Q135" s="12">
        <f t="shared" ca="1" si="106"/>
        <v>1209213.4570463458</v>
      </c>
      <c r="R135" s="12">
        <f t="shared" ca="1" si="107"/>
        <v>1391992.445987276</v>
      </c>
      <c r="S135" s="12">
        <f t="shared" ca="1" si="108"/>
        <v>1570510.1947809651</v>
      </c>
      <c r="T135" s="12">
        <f t="shared" ca="1" si="109"/>
        <v>1523779.8774382211</v>
      </c>
      <c r="U135" s="12">
        <f t="shared" ca="1" si="110"/>
        <v>1906376.5992300105</v>
      </c>
      <c r="V135" s="12">
        <f t="shared" ca="1" si="111"/>
        <v>1781724.3372954631</v>
      </c>
      <c r="W135" s="12">
        <f t="shared" ca="1" si="112"/>
        <v>2043798.1006572011</v>
      </c>
      <c r="X135" s="12">
        <f t="shared" ca="1" si="113"/>
        <v>2372536.4359798916</v>
      </c>
      <c r="Y135" s="12">
        <f t="shared" ca="1" si="114"/>
        <v>2405203.2618556744</v>
      </c>
      <c r="Z135" s="12">
        <f t="shared" ca="1" si="115"/>
        <v>2756332.8476453153</v>
      </c>
      <c r="AA135" s="12">
        <f t="shared" ca="1" si="116"/>
        <v>2479685.7263605618</v>
      </c>
      <c r="AB135" s="12">
        <f t="shared" ca="1" si="117"/>
        <v>2958214.3587201084</v>
      </c>
      <c r="AC135" s="12">
        <f t="shared" ca="1" si="118"/>
        <v>2956411.2906434815</v>
      </c>
      <c r="AD135" s="12">
        <f t="shared" ca="1" si="119"/>
        <v>2984777.3628362571</v>
      </c>
      <c r="AE135" s="12">
        <f t="shared" ca="1" si="120"/>
        <v>2959245.3792396779</v>
      </c>
      <c r="AF135" s="12">
        <f t="shared" ca="1" si="121"/>
        <v>3715339.2149496088</v>
      </c>
      <c r="AG135" s="12">
        <f t="shared" ca="1" si="122"/>
        <v>4016373.8225567425</v>
      </c>
      <c r="AH135" s="12">
        <f t="shared" ca="1" si="123"/>
        <v>4016373.8225567425</v>
      </c>
    </row>
    <row r="136" spans="2:34" x14ac:dyDescent="0.25">
      <c r="B136" s="6">
        <v>120</v>
      </c>
      <c r="D136" s="12">
        <f t="shared" ca="1" si="93"/>
        <v>183163.58515115292</v>
      </c>
      <c r="E136" s="12">
        <f t="shared" ca="1" si="94"/>
        <v>194664.50450278464</v>
      </c>
      <c r="F136" s="12">
        <f t="shared" ca="1" si="95"/>
        <v>266301.7981624839</v>
      </c>
      <c r="G136" s="12">
        <f t="shared" ca="1" si="96"/>
        <v>350970.6447993599</v>
      </c>
      <c r="H136" s="12">
        <f t="shared" ca="1" si="97"/>
        <v>379236.65617561073</v>
      </c>
      <c r="I136" s="12">
        <f t="shared" ca="1" si="98"/>
        <v>472781.41778469138</v>
      </c>
      <c r="J136" s="12">
        <f t="shared" ca="1" si="99"/>
        <v>509418.29801918071</v>
      </c>
      <c r="K136" s="12">
        <f t="shared" ca="1" si="100"/>
        <v>460806.51923046261</v>
      </c>
      <c r="L136" s="12">
        <f t="shared" ca="1" si="101"/>
        <v>602799.89751087921</v>
      </c>
      <c r="M136" s="12">
        <f t="shared" ca="1" si="102"/>
        <v>760574.72741958685</v>
      </c>
      <c r="N136" s="12">
        <f t="shared" ca="1" si="103"/>
        <v>855190.97543872637</v>
      </c>
      <c r="O136" s="12">
        <f t="shared" ca="1" si="104"/>
        <v>992255.63040446385</v>
      </c>
      <c r="P136" s="12">
        <f t="shared" ca="1" si="105"/>
        <v>1338794.9932621946</v>
      </c>
      <c r="Q136" s="12">
        <f t="shared" ca="1" si="106"/>
        <v>1466626.0576139651</v>
      </c>
      <c r="R136" s="12">
        <f t="shared" ca="1" si="107"/>
        <v>1942074.6182763102</v>
      </c>
      <c r="S136" s="12">
        <f t="shared" ca="1" si="108"/>
        <v>2284140.7391184825</v>
      </c>
      <c r="T136" s="12">
        <f t="shared" ca="1" si="109"/>
        <v>2941143.2527592797</v>
      </c>
      <c r="U136" s="12">
        <f t="shared" ca="1" si="110"/>
        <v>2899834.9001644393</v>
      </c>
      <c r="V136" s="12">
        <f t="shared" ca="1" si="111"/>
        <v>2589385.1216198653</v>
      </c>
      <c r="W136" s="12">
        <f t="shared" ca="1" si="112"/>
        <v>2730043.9086934011</v>
      </c>
      <c r="X136" s="12">
        <f t="shared" ca="1" si="113"/>
        <v>2841994.3625555607</v>
      </c>
      <c r="Y136" s="12">
        <f t="shared" ca="1" si="114"/>
        <v>3146639.0858651181</v>
      </c>
      <c r="Z136" s="12">
        <f t="shared" ca="1" si="115"/>
        <v>3683247.0320503283</v>
      </c>
      <c r="AA136" s="12">
        <f t="shared" ca="1" si="116"/>
        <v>3054345.0442451909</v>
      </c>
      <c r="AB136" s="12">
        <f t="shared" ca="1" si="117"/>
        <v>2630170.6394885029</v>
      </c>
      <c r="AC136" s="12">
        <f t="shared" ca="1" si="118"/>
        <v>2953745.6029864862</v>
      </c>
      <c r="AD136" s="12">
        <f t="shared" ca="1" si="119"/>
        <v>2360614.5372669031</v>
      </c>
      <c r="AE136" s="12">
        <f t="shared" ca="1" si="120"/>
        <v>2780707.029106278</v>
      </c>
      <c r="AF136" s="12">
        <f t="shared" ca="1" si="121"/>
        <v>3733357.7950297394</v>
      </c>
      <c r="AG136" s="12">
        <f t="shared" ca="1" si="122"/>
        <v>3294848.3295892403</v>
      </c>
      <c r="AH136" s="12">
        <f t="shared" ca="1" si="123"/>
        <v>3294848.3295892403</v>
      </c>
    </row>
    <row r="137" spans="2:34" x14ac:dyDescent="0.25">
      <c r="B137" s="6">
        <v>121</v>
      </c>
      <c r="D137" s="12">
        <f t="shared" ca="1" si="93"/>
        <v>166882.79227433639</v>
      </c>
      <c r="E137" s="12">
        <f t="shared" ca="1" si="94"/>
        <v>180043.50022640737</v>
      </c>
      <c r="F137" s="12">
        <f t="shared" ca="1" si="95"/>
        <v>224460.34703548625</v>
      </c>
      <c r="G137" s="12">
        <f t="shared" ca="1" si="96"/>
        <v>254377.43802217086</v>
      </c>
      <c r="H137" s="12">
        <f t="shared" ca="1" si="97"/>
        <v>278457.57106826536</v>
      </c>
      <c r="I137" s="12">
        <f t="shared" ca="1" si="98"/>
        <v>343880.95354632084</v>
      </c>
      <c r="J137" s="12">
        <f t="shared" ca="1" si="99"/>
        <v>407638.47314514749</v>
      </c>
      <c r="K137" s="12">
        <f t="shared" ca="1" si="100"/>
        <v>371110.81170574581</v>
      </c>
      <c r="L137" s="12">
        <f t="shared" ca="1" si="101"/>
        <v>409366.06168198935</v>
      </c>
      <c r="M137" s="12">
        <f t="shared" ca="1" si="102"/>
        <v>376816.93161750748</v>
      </c>
      <c r="N137" s="12">
        <f t="shared" ca="1" si="103"/>
        <v>384916.45732260164</v>
      </c>
      <c r="O137" s="12">
        <f t="shared" ca="1" si="104"/>
        <v>485669.23691061098</v>
      </c>
      <c r="P137" s="12">
        <f t="shared" ca="1" si="105"/>
        <v>478806.62036403816</v>
      </c>
      <c r="Q137" s="12">
        <f t="shared" ca="1" si="106"/>
        <v>599756.56127109902</v>
      </c>
      <c r="R137" s="12">
        <f t="shared" ca="1" si="107"/>
        <v>668941.59452849114</v>
      </c>
      <c r="S137" s="12">
        <f t="shared" ca="1" si="108"/>
        <v>670521.15356222074</v>
      </c>
      <c r="T137" s="12">
        <f t="shared" ca="1" si="109"/>
        <v>703194.47521340684</v>
      </c>
      <c r="U137" s="12">
        <f t="shared" ca="1" si="110"/>
        <v>788336.2114321792</v>
      </c>
      <c r="V137" s="12">
        <f t="shared" ca="1" si="111"/>
        <v>940403.99237119313</v>
      </c>
      <c r="W137" s="12">
        <f t="shared" ca="1" si="112"/>
        <v>1116654.6926527808</v>
      </c>
      <c r="X137" s="12">
        <f t="shared" ca="1" si="113"/>
        <v>1140362.8352965449</v>
      </c>
      <c r="Y137" s="12">
        <f t="shared" ca="1" si="114"/>
        <v>1378009.3647533262</v>
      </c>
      <c r="Z137" s="12">
        <f t="shared" ca="1" si="115"/>
        <v>1188027.8486037659</v>
      </c>
      <c r="AA137" s="12">
        <f t="shared" ca="1" si="116"/>
        <v>1388814.5286222801</v>
      </c>
      <c r="AB137" s="12">
        <f t="shared" ca="1" si="117"/>
        <v>1506017.5361641175</v>
      </c>
      <c r="AC137" s="12">
        <f t="shared" ca="1" si="118"/>
        <v>1507367.9603496452</v>
      </c>
      <c r="AD137" s="12">
        <f t="shared" ca="1" si="119"/>
        <v>1301953.0233704511</v>
      </c>
      <c r="AE137" s="12">
        <f t="shared" ca="1" si="120"/>
        <v>1592729.7984771584</v>
      </c>
      <c r="AF137" s="12">
        <f t="shared" ca="1" si="121"/>
        <v>1460564.2090403414</v>
      </c>
      <c r="AG137" s="12">
        <f t="shared" ca="1" si="122"/>
        <v>1309925.3303180339</v>
      </c>
      <c r="AH137" s="12">
        <f t="shared" ca="1" si="123"/>
        <v>1309925.3303180339</v>
      </c>
    </row>
    <row r="138" spans="2:34" x14ac:dyDescent="0.25">
      <c r="B138" s="6">
        <v>122</v>
      </c>
      <c r="D138" s="12">
        <f t="shared" ca="1" si="93"/>
        <v>204632.54447256401</v>
      </c>
      <c r="E138" s="12">
        <f t="shared" ca="1" si="94"/>
        <v>222205.22262274491</v>
      </c>
      <c r="F138" s="12">
        <f t="shared" ca="1" si="95"/>
        <v>219405.67021079562</v>
      </c>
      <c r="G138" s="12">
        <f t="shared" ca="1" si="96"/>
        <v>269874.50629191933</v>
      </c>
      <c r="H138" s="12">
        <f t="shared" ca="1" si="97"/>
        <v>321547.60824481427</v>
      </c>
      <c r="I138" s="12">
        <f t="shared" ca="1" si="98"/>
        <v>404733.93880108389</v>
      </c>
      <c r="J138" s="12">
        <f t="shared" ca="1" si="99"/>
        <v>459112.00461380772</v>
      </c>
      <c r="K138" s="12">
        <f t="shared" ca="1" si="100"/>
        <v>417905.1621226244</v>
      </c>
      <c r="L138" s="12">
        <f t="shared" ca="1" si="101"/>
        <v>444917.24251246109</v>
      </c>
      <c r="M138" s="12">
        <f t="shared" ca="1" si="102"/>
        <v>489817.11351904069</v>
      </c>
      <c r="N138" s="12">
        <f t="shared" ca="1" si="103"/>
        <v>495926.35466983862</v>
      </c>
      <c r="O138" s="12">
        <f t="shared" ca="1" si="104"/>
        <v>510609.84642773907</v>
      </c>
      <c r="P138" s="12">
        <f t="shared" ca="1" si="105"/>
        <v>513193.61523845233</v>
      </c>
      <c r="Q138" s="12">
        <f t="shared" ca="1" si="106"/>
        <v>542921.93978622009</v>
      </c>
      <c r="R138" s="12">
        <f t="shared" ca="1" si="107"/>
        <v>555752.770251818</v>
      </c>
      <c r="S138" s="12">
        <f t="shared" ca="1" si="108"/>
        <v>585584.53944578732</v>
      </c>
      <c r="T138" s="12">
        <f t="shared" ca="1" si="109"/>
        <v>639576.65175187704</v>
      </c>
      <c r="U138" s="12">
        <f t="shared" ca="1" si="110"/>
        <v>777679.20508921763</v>
      </c>
      <c r="V138" s="12">
        <f t="shared" ca="1" si="111"/>
        <v>904026.63331878942</v>
      </c>
      <c r="W138" s="12">
        <f t="shared" ca="1" si="112"/>
        <v>998351.7027993392</v>
      </c>
      <c r="X138" s="12">
        <f t="shared" ca="1" si="113"/>
        <v>1126649.4696663534</v>
      </c>
      <c r="Y138" s="12">
        <f t="shared" ca="1" si="114"/>
        <v>1507967.3742606137</v>
      </c>
      <c r="Z138" s="12">
        <f t="shared" ca="1" si="115"/>
        <v>1683601.3976480954</v>
      </c>
      <c r="AA138" s="12">
        <f t="shared" ca="1" si="116"/>
        <v>2114802.0584081551</v>
      </c>
      <c r="AB138" s="12">
        <f t="shared" ca="1" si="117"/>
        <v>2082304.5183010679</v>
      </c>
      <c r="AC138" s="12">
        <f t="shared" ca="1" si="118"/>
        <v>2279430.6217492814</v>
      </c>
      <c r="AD138" s="12">
        <f t="shared" ca="1" si="119"/>
        <v>2357521.0559457345</v>
      </c>
      <c r="AE138" s="12">
        <f t="shared" ca="1" si="120"/>
        <v>2410335.9645531191</v>
      </c>
      <c r="AF138" s="12">
        <f t="shared" ca="1" si="121"/>
        <v>2443217.6961520161</v>
      </c>
      <c r="AG138" s="12">
        <f t="shared" ca="1" si="122"/>
        <v>2511641.6236919444</v>
      </c>
      <c r="AH138" s="12">
        <f t="shared" ca="1" si="123"/>
        <v>2511641.6236919444</v>
      </c>
    </row>
    <row r="139" spans="2:34" x14ac:dyDescent="0.25">
      <c r="B139" s="6">
        <v>123</v>
      </c>
      <c r="D139" s="12">
        <f t="shared" ca="1" si="93"/>
        <v>184853.00871816374</v>
      </c>
      <c r="E139" s="12">
        <f t="shared" ca="1" si="94"/>
        <v>230952.2962141817</v>
      </c>
      <c r="F139" s="12">
        <f t="shared" ca="1" si="95"/>
        <v>285099.95846563764</v>
      </c>
      <c r="G139" s="12">
        <f t="shared" ca="1" si="96"/>
        <v>341008.05610341928</v>
      </c>
      <c r="H139" s="12">
        <f t="shared" ca="1" si="97"/>
        <v>370623.30576859368</v>
      </c>
      <c r="I139" s="12">
        <f t="shared" ca="1" si="98"/>
        <v>468810.18840208935</v>
      </c>
      <c r="J139" s="12">
        <f t="shared" ca="1" si="99"/>
        <v>554218.02285151277</v>
      </c>
      <c r="K139" s="12">
        <f t="shared" ca="1" si="100"/>
        <v>538455.59713243926</v>
      </c>
      <c r="L139" s="12">
        <f t="shared" ca="1" si="101"/>
        <v>659811.76944589952</v>
      </c>
      <c r="M139" s="12">
        <f t="shared" ca="1" si="102"/>
        <v>688575.14190269529</v>
      </c>
      <c r="N139" s="12">
        <f t="shared" ca="1" si="103"/>
        <v>726935.76328850305</v>
      </c>
      <c r="O139" s="12">
        <f t="shared" ca="1" si="104"/>
        <v>683890.35867490491</v>
      </c>
      <c r="P139" s="12">
        <f t="shared" ca="1" si="105"/>
        <v>849747.35582160309</v>
      </c>
      <c r="Q139" s="12">
        <f t="shared" ca="1" si="106"/>
        <v>1113757.4579925078</v>
      </c>
      <c r="R139" s="12">
        <f t="shared" ca="1" si="107"/>
        <v>1239093.6583283979</v>
      </c>
      <c r="S139" s="12">
        <f t="shared" ca="1" si="108"/>
        <v>1265511.1770586458</v>
      </c>
      <c r="T139" s="12">
        <f t="shared" ca="1" si="109"/>
        <v>1286221.781138354</v>
      </c>
      <c r="U139" s="12">
        <f t="shared" ca="1" si="110"/>
        <v>1286672.2369793162</v>
      </c>
      <c r="V139" s="12">
        <f t="shared" ca="1" si="111"/>
        <v>1325148.6471086105</v>
      </c>
      <c r="W139" s="12">
        <f t="shared" ca="1" si="112"/>
        <v>1741371.6115954116</v>
      </c>
      <c r="X139" s="12">
        <f t="shared" ca="1" si="113"/>
        <v>2091572.5200415617</v>
      </c>
      <c r="Y139" s="12">
        <f t="shared" ca="1" si="114"/>
        <v>2359871.2953636996</v>
      </c>
      <c r="Z139" s="12">
        <f t="shared" ca="1" si="115"/>
        <v>2537140.2815419207</v>
      </c>
      <c r="AA139" s="12">
        <f t="shared" ca="1" si="116"/>
        <v>2363922.0873983665</v>
      </c>
      <c r="AB139" s="12">
        <f t="shared" ca="1" si="117"/>
        <v>2225222.2318299357</v>
      </c>
      <c r="AC139" s="12">
        <f t="shared" ca="1" si="118"/>
        <v>2706152.3936265274</v>
      </c>
      <c r="AD139" s="12">
        <f t="shared" ca="1" si="119"/>
        <v>3027628.7059674761</v>
      </c>
      <c r="AE139" s="12">
        <f t="shared" ca="1" si="120"/>
        <v>3004578.405684988</v>
      </c>
      <c r="AF139" s="12">
        <f t="shared" ca="1" si="121"/>
        <v>3061855.8289656858</v>
      </c>
      <c r="AG139" s="12">
        <f t="shared" ca="1" si="122"/>
        <v>2652050.9800562714</v>
      </c>
      <c r="AH139" s="12">
        <f t="shared" ca="1" si="123"/>
        <v>2652050.9800562714</v>
      </c>
    </row>
    <row r="140" spans="2:34" x14ac:dyDescent="0.25">
      <c r="B140" s="6">
        <v>124</v>
      </c>
      <c r="D140" s="12">
        <f t="shared" ca="1" si="93"/>
        <v>199541.32288646651</v>
      </c>
      <c r="E140" s="12">
        <f t="shared" ca="1" si="94"/>
        <v>239779.01242978621</v>
      </c>
      <c r="F140" s="12">
        <f t="shared" ca="1" si="95"/>
        <v>288220.44968510314</v>
      </c>
      <c r="G140" s="12">
        <f t="shared" ca="1" si="96"/>
        <v>307825.04612050159</v>
      </c>
      <c r="H140" s="12">
        <f t="shared" ca="1" si="97"/>
        <v>305979.26284931257</v>
      </c>
      <c r="I140" s="12">
        <f t="shared" ca="1" si="98"/>
        <v>337257.68556165998</v>
      </c>
      <c r="J140" s="12">
        <f t="shared" ca="1" si="99"/>
        <v>353287.36012835597</v>
      </c>
      <c r="K140" s="12">
        <f t="shared" ca="1" si="100"/>
        <v>343450.24813873792</v>
      </c>
      <c r="L140" s="12">
        <f t="shared" ca="1" si="101"/>
        <v>429338.22780991037</v>
      </c>
      <c r="M140" s="12">
        <f t="shared" ca="1" si="102"/>
        <v>477627.07397449255</v>
      </c>
      <c r="N140" s="12">
        <f t="shared" ca="1" si="103"/>
        <v>581254.39159613627</v>
      </c>
      <c r="O140" s="12">
        <f t="shared" ca="1" si="104"/>
        <v>585448.47124373901</v>
      </c>
      <c r="P140" s="12">
        <f t="shared" ca="1" si="105"/>
        <v>579035.65848166426</v>
      </c>
      <c r="Q140" s="12">
        <f t="shared" ca="1" si="106"/>
        <v>644550.6969425237</v>
      </c>
      <c r="R140" s="12">
        <f t="shared" ca="1" si="107"/>
        <v>677194.33572026389</v>
      </c>
      <c r="S140" s="12">
        <f t="shared" ca="1" si="108"/>
        <v>874098.94378354214</v>
      </c>
      <c r="T140" s="12">
        <f t="shared" ca="1" si="109"/>
        <v>869965.18064104288</v>
      </c>
      <c r="U140" s="12">
        <f t="shared" ca="1" si="110"/>
        <v>932057.52846196305</v>
      </c>
      <c r="V140" s="12">
        <f t="shared" ca="1" si="111"/>
        <v>887788.04066100379</v>
      </c>
      <c r="W140" s="12">
        <f t="shared" ca="1" si="112"/>
        <v>1003229.8194262884</v>
      </c>
      <c r="X140" s="12">
        <f t="shared" ca="1" si="113"/>
        <v>1109326.7580320027</v>
      </c>
      <c r="Y140" s="12">
        <f t="shared" ca="1" si="114"/>
        <v>996390.11141225137</v>
      </c>
      <c r="Z140" s="12">
        <f t="shared" ca="1" si="115"/>
        <v>1121142.819298815</v>
      </c>
      <c r="AA140" s="12">
        <f t="shared" ca="1" si="116"/>
        <v>914219.5261734688</v>
      </c>
      <c r="AB140" s="12">
        <f t="shared" ca="1" si="117"/>
        <v>1034324.2570882234</v>
      </c>
      <c r="AC140" s="12">
        <f t="shared" ca="1" si="118"/>
        <v>1232555.5693794</v>
      </c>
      <c r="AD140" s="12">
        <f t="shared" ca="1" si="119"/>
        <v>1379240.1170962045</v>
      </c>
      <c r="AE140" s="12">
        <f t="shared" ca="1" si="120"/>
        <v>1546400.434100592</v>
      </c>
      <c r="AF140" s="12">
        <f t="shared" ca="1" si="121"/>
        <v>1949993.4705443534</v>
      </c>
      <c r="AG140" s="12">
        <f t="shared" ca="1" si="122"/>
        <v>2116424.3061943701</v>
      </c>
      <c r="AH140" s="12">
        <f t="shared" ca="1" si="123"/>
        <v>2116424.3061943701</v>
      </c>
    </row>
    <row r="141" spans="2:34" x14ac:dyDescent="0.25">
      <c r="B141" s="6">
        <v>125</v>
      </c>
      <c r="D141" s="12">
        <f t="shared" ca="1" si="93"/>
        <v>203145.49517870357</v>
      </c>
      <c r="E141" s="12">
        <f t="shared" ca="1" si="94"/>
        <v>236212.73274759063</v>
      </c>
      <c r="F141" s="12">
        <f t="shared" ca="1" si="95"/>
        <v>252133.28471094623</v>
      </c>
      <c r="G141" s="12">
        <f t="shared" ca="1" si="96"/>
        <v>300282.97113354702</v>
      </c>
      <c r="H141" s="12">
        <f t="shared" ca="1" si="97"/>
        <v>320934.74746216461</v>
      </c>
      <c r="I141" s="12">
        <f t="shared" ca="1" si="98"/>
        <v>367679.15665699611</v>
      </c>
      <c r="J141" s="12">
        <f t="shared" ca="1" si="99"/>
        <v>388980.6318035181</v>
      </c>
      <c r="K141" s="12">
        <f t="shared" ca="1" si="100"/>
        <v>484189.38668332563</v>
      </c>
      <c r="L141" s="12">
        <f t="shared" ca="1" si="101"/>
        <v>409627.45992726338</v>
      </c>
      <c r="M141" s="12">
        <f t="shared" ca="1" si="102"/>
        <v>462969.79258209764</v>
      </c>
      <c r="N141" s="12">
        <f t="shared" ca="1" si="103"/>
        <v>580346.44301007432</v>
      </c>
      <c r="O141" s="12">
        <f t="shared" ca="1" si="104"/>
        <v>647703.8569927034</v>
      </c>
      <c r="P141" s="12">
        <f t="shared" ca="1" si="105"/>
        <v>826824.93259187939</v>
      </c>
      <c r="Q141" s="12">
        <f t="shared" ca="1" si="106"/>
        <v>791898.03219887242</v>
      </c>
      <c r="R141" s="12">
        <f t="shared" ca="1" si="107"/>
        <v>716307.99948962615</v>
      </c>
      <c r="S141" s="12">
        <f t="shared" ca="1" si="108"/>
        <v>940038.03938968934</v>
      </c>
      <c r="T141" s="12">
        <f t="shared" ca="1" si="109"/>
        <v>1177396.0003501333</v>
      </c>
      <c r="U141" s="12">
        <f t="shared" ca="1" si="110"/>
        <v>1225963.9263642633</v>
      </c>
      <c r="V141" s="12">
        <f t="shared" ca="1" si="111"/>
        <v>1190480.0091607913</v>
      </c>
      <c r="W141" s="12">
        <f t="shared" ca="1" si="112"/>
        <v>1390379.1985612877</v>
      </c>
      <c r="X141" s="12">
        <f t="shared" ca="1" si="113"/>
        <v>1576746.7444402741</v>
      </c>
      <c r="Y141" s="12">
        <f t="shared" ca="1" si="114"/>
        <v>1540888.3177491443</v>
      </c>
      <c r="Z141" s="12">
        <f t="shared" ca="1" si="115"/>
        <v>1607381.4400849107</v>
      </c>
      <c r="AA141" s="12">
        <f t="shared" ca="1" si="116"/>
        <v>2034221.4430858819</v>
      </c>
      <c r="AB141" s="12">
        <f t="shared" ca="1" si="117"/>
        <v>2335219.5922283097</v>
      </c>
      <c r="AC141" s="12">
        <f t="shared" ca="1" si="118"/>
        <v>2480501.8838966233</v>
      </c>
      <c r="AD141" s="12">
        <f t="shared" ca="1" si="119"/>
        <v>2331306.0695032938</v>
      </c>
      <c r="AE141" s="12">
        <f t="shared" ca="1" si="120"/>
        <v>1978793.1315544175</v>
      </c>
      <c r="AF141" s="12">
        <f t="shared" ca="1" si="121"/>
        <v>2245177.0271614115</v>
      </c>
      <c r="AG141" s="12">
        <f t="shared" ca="1" si="122"/>
        <v>1994427.883349495</v>
      </c>
      <c r="AH141" s="12">
        <f t="shared" ca="1" si="123"/>
        <v>1994427.883349495</v>
      </c>
    </row>
    <row r="142" spans="2:34" x14ac:dyDescent="0.25">
      <c r="B142" s="6">
        <v>126</v>
      </c>
      <c r="D142" s="12">
        <f t="shared" ca="1" si="93"/>
        <v>201855.11869222444</v>
      </c>
      <c r="E142" s="12">
        <f t="shared" ca="1" si="94"/>
        <v>236705.06684458302</v>
      </c>
      <c r="F142" s="12">
        <f t="shared" ca="1" si="95"/>
        <v>246411.4331328845</v>
      </c>
      <c r="G142" s="12">
        <f t="shared" ca="1" si="96"/>
        <v>307332.81925032072</v>
      </c>
      <c r="H142" s="12">
        <f t="shared" ca="1" si="97"/>
        <v>298266.2824682871</v>
      </c>
      <c r="I142" s="12">
        <f t="shared" ca="1" si="98"/>
        <v>324425.06974831643</v>
      </c>
      <c r="J142" s="12">
        <f t="shared" ca="1" si="99"/>
        <v>388941.44333619642</v>
      </c>
      <c r="K142" s="12">
        <f t="shared" ca="1" si="100"/>
        <v>336544.25698947633</v>
      </c>
      <c r="L142" s="12">
        <f t="shared" ca="1" si="101"/>
        <v>430190.07192290586</v>
      </c>
      <c r="M142" s="12">
        <f t="shared" ca="1" si="102"/>
        <v>491855.20006264688</v>
      </c>
      <c r="N142" s="12">
        <f t="shared" ca="1" si="103"/>
        <v>469806.3157316065</v>
      </c>
      <c r="O142" s="12">
        <f t="shared" ca="1" si="104"/>
        <v>441123.97614665056</v>
      </c>
      <c r="P142" s="12">
        <f t="shared" ca="1" si="105"/>
        <v>457415.23010273697</v>
      </c>
      <c r="Q142" s="12">
        <f t="shared" ca="1" si="106"/>
        <v>536041.23028994002</v>
      </c>
      <c r="R142" s="12">
        <f t="shared" ca="1" si="107"/>
        <v>642009.65796399908</v>
      </c>
      <c r="S142" s="12">
        <f t="shared" ca="1" si="108"/>
        <v>748539.02217959031</v>
      </c>
      <c r="T142" s="12">
        <f t="shared" ca="1" si="109"/>
        <v>877648.76789401646</v>
      </c>
      <c r="U142" s="12">
        <f t="shared" ca="1" si="110"/>
        <v>1040140.4485227036</v>
      </c>
      <c r="V142" s="12">
        <f t="shared" ca="1" si="111"/>
        <v>1173831.2799531727</v>
      </c>
      <c r="W142" s="12">
        <f t="shared" ca="1" si="112"/>
        <v>1079556.6451835029</v>
      </c>
      <c r="X142" s="12">
        <f t="shared" ca="1" si="113"/>
        <v>1315818.048915229</v>
      </c>
      <c r="Y142" s="12">
        <f t="shared" ca="1" si="114"/>
        <v>1592393.1256872057</v>
      </c>
      <c r="Z142" s="12">
        <f t="shared" ca="1" si="115"/>
        <v>1786537.5949359953</v>
      </c>
      <c r="AA142" s="12">
        <f t="shared" ca="1" si="116"/>
        <v>1472156.0340367495</v>
      </c>
      <c r="AB142" s="12">
        <f t="shared" ca="1" si="117"/>
        <v>1696577.0144992729</v>
      </c>
      <c r="AC142" s="12">
        <f t="shared" ca="1" si="118"/>
        <v>1781540.1372543368</v>
      </c>
      <c r="AD142" s="12">
        <f t="shared" ca="1" si="119"/>
        <v>1734225.2705067771</v>
      </c>
      <c r="AE142" s="12">
        <f t="shared" ca="1" si="120"/>
        <v>2010089.6256726896</v>
      </c>
      <c r="AF142" s="12">
        <f t="shared" ca="1" si="121"/>
        <v>2064558.363007945</v>
      </c>
      <c r="AG142" s="12">
        <f t="shared" ca="1" si="122"/>
        <v>2140490.4900859529</v>
      </c>
      <c r="AH142" s="12">
        <f t="shared" ca="1" si="123"/>
        <v>2140490.4900859529</v>
      </c>
    </row>
    <row r="143" spans="2:34" x14ac:dyDescent="0.25">
      <c r="B143" s="6">
        <v>127</v>
      </c>
      <c r="D143" s="12">
        <f t="shared" ca="1" si="93"/>
        <v>179398.65274890873</v>
      </c>
      <c r="E143" s="12">
        <f t="shared" ca="1" si="94"/>
        <v>197126.66285531444</v>
      </c>
      <c r="F143" s="12">
        <f t="shared" ca="1" si="95"/>
        <v>248822.01645345998</v>
      </c>
      <c r="G143" s="12">
        <f t="shared" ca="1" si="96"/>
        <v>284161.95163742261</v>
      </c>
      <c r="H143" s="12">
        <f t="shared" ca="1" si="97"/>
        <v>380135.8648418978</v>
      </c>
      <c r="I143" s="12">
        <f t="shared" ca="1" si="98"/>
        <v>434274.50272530911</v>
      </c>
      <c r="J143" s="12">
        <f t="shared" ca="1" si="99"/>
        <v>511928.02104812569</v>
      </c>
      <c r="K143" s="12">
        <f t="shared" ca="1" si="100"/>
        <v>576591.98256889591</v>
      </c>
      <c r="L143" s="12">
        <f t="shared" ca="1" si="101"/>
        <v>708133.16944354749</v>
      </c>
      <c r="M143" s="12">
        <f t="shared" ca="1" si="102"/>
        <v>705341.84008853161</v>
      </c>
      <c r="N143" s="12">
        <f t="shared" ca="1" si="103"/>
        <v>812869.57897048059</v>
      </c>
      <c r="O143" s="12">
        <f t="shared" ca="1" si="104"/>
        <v>914426.48569202784</v>
      </c>
      <c r="P143" s="12">
        <f t="shared" ca="1" si="105"/>
        <v>880616.37523201841</v>
      </c>
      <c r="Q143" s="12">
        <f t="shared" ca="1" si="106"/>
        <v>797124.16912733996</v>
      </c>
      <c r="R143" s="12">
        <f t="shared" ca="1" si="107"/>
        <v>769719.40913842293</v>
      </c>
      <c r="S143" s="12">
        <f t="shared" ca="1" si="108"/>
        <v>901301.36790907418</v>
      </c>
      <c r="T143" s="12">
        <f t="shared" ca="1" si="109"/>
        <v>990911.49774377351</v>
      </c>
      <c r="U143" s="12">
        <f t="shared" ca="1" si="110"/>
        <v>1078293.5315349388</v>
      </c>
      <c r="V143" s="12">
        <f t="shared" ca="1" si="111"/>
        <v>1048663.9825302551</v>
      </c>
      <c r="W143" s="12">
        <f t="shared" ca="1" si="112"/>
        <v>1045840.2877022082</v>
      </c>
      <c r="X143" s="12">
        <f t="shared" ca="1" si="113"/>
        <v>1197944.5201094465</v>
      </c>
      <c r="Y143" s="12">
        <f t="shared" ca="1" si="114"/>
        <v>1278120.8686123919</v>
      </c>
      <c r="Z143" s="12">
        <f t="shared" ca="1" si="115"/>
        <v>1536636.7607666613</v>
      </c>
      <c r="AA143" s="12">
        <f t="shared" ca="1" si="116"/>
        <v>1612123.1803795975</v>
      </c>
      <c r="AB143" s="12">
        <f t="shared" ca="1" si="117"/>
        <v>1747959.2752986616</v>
      </c>
      <c r="AC143" s="12">
        <f t="shared" ca="1" si="118"/>
        <v>2012591.5662262847</v>
      </c>
      <c r="AD143" s="12">
        <f t="shared" ca="1" si="119"/>
        <v>1795497.7876025436</v>
      </c>
      <c r="AE143" s="12">
        <f t="shared" ca="1" si="120"/>
        <v>2021799.9108033446</v>
      </c>
      <c r="AF143" s="12">
        <f t="shared" ca="1" si="121"/>
        <v>2281093.064444907</v>
      </c>
      <c r="AG143" s="12">
        <f t="shared" ca="1" si="122"/>
        <v>2723974.309103061</v>
      </c>
      <c r="AH143" s="12">
        <f t="shared" ca="1" si="123"/>
        <v>2723974.309103061</v>
      </c>
    </row>
    <row r="144" spans="2:34" x14ac:dyDescent="0.25">
      <c r="B144" s="6">
        <v>128</v>
      </c>
      <c r="D144" s="12">
        <f t="shared" ca="1" si="93"/>
        <v>186538.25734359262</v>
      </c>
      <c r="E144" s="12">
        <f t="shared" ca="1" si="94"/>
        <v>220148.47578301776</v>
      </c>
      <c r="F144" s="12">
        <f t="shared" ca="1" si="95"/>
        <v>273497.63741875149</v>
      </c>
      <c r="G144" s="12">
        <f t="shared" ca="1" si="96"/>
        <v>350490.16845736984</v>
      </c>
      <c r="H144" s="12">
        <f t="shared" ca="1" si="97"/>
        <v>331029.15783984249</v>
      </c>
      <c r="I144" s="12">
        <f t="shared" ca="1" si="98"/>
        <v>333032.74917021085</v>
      </c>
      <c r="J144" s="12">
        <f t="shared" ca="1" si="99"/>
        <v>333765.38452436455</v>
      </c>
      <c r="K144" s="12">
        <f t="shared" ca="1" si="100"/>
        <v>406294.81465258659</v>
      </c>
      <c r="L144" s="12">
        <f t="shared" ca="1" si="101"/>
        <v>520185.66553121875</v>
      </c>
      <c r="M144" s="12">
        <f t="shared" ca="1" si="102"/>
        <v>512157.39879891695</v>
      </c>
      <c r="N144" s="12">
        <f t="shared" ca="1" si="103"/>
        <v>547784.39823207399</v>
      </c>
      <c r="O144" s="12">
        <f t="shared" ca="1" si="104"/>
        <v>497890.65707310056</v>
      </c>
      <c r="P144" s="12">
        <f t="shared" ca="1" si="105"/>
        <v>627822.09040443588</v>
      </c>
      <c r="Q144" s="12">
        <f t="shared" ca="1" si="106"/>
        <v>738965.73464276874</v>
      </c>
      <c r="R144" s="12">
        <f t="shared" ca="1" si="107"/>
        <v>810251.33426159737</v>
      </c>
      <c r="S144" s="12">
        <f t="shared" ca="1" si="108"/>
        <v>933032.23396187683</v>
      </c>
      <c r="T144" s="12">
        <f t="shared" ca="1" si="109"/>
        <v>982590.47664501925</v>
      </c>
      <c r="U144" s="12">
        <f t="shared" ca="1" si="110"/>
        <v>849407.50295678352</v>
      </c>
      <c r="V144" s="12">
        <f t="shared" ca="1" si="111"/>
        <v>955567.90601780894</v>
      </c>
      <c r="W144" s="12">
        <f t="shared" ca="1" si="112"/>
        <v>1209424.8709585196</v>
      </c>
      <c r="X144" s="12">
        <f t="shared" ca="1" si="113"/>
        <v>1311861.2796121563</v>
      </c>
      <c r="Y144" s="12">
        <f t="shared" ca="1" si="114"/>
        <v>1334193.0355728322</v>
      </c>
      <c r="Z144" s="12">
        <f t="shared" ca="1" si="115"/>
        <v>1595076.9774765298</v>
      </c>
      <c r="AA144" s="12">
        <f t="shared" ca="1" si="116"/>
        <v>1925366.3370534978</v>
      </c>
      <c r="AB144" s="12">
        <f t="shared" ca="1" si="117"/>
        <v>1802206.0640841501</v>
      </c>
      <c r="AC144" s="12">
        <f t="shared" ca="1" si="118"/>
        <v>1789021.8325160707</v>
      </c>
      <c r="AD144" s="12">
        <f t="shared" ca="1" si="119"/>
        <v>1792974.006256718</v>
      </c>
      <c r="AE144" s="12">
        <f t="shared" ca="1" si="120"/>
        <v>1753264.6313930459</v>
      </c>
      <c r="AF144" s="12">
        <f t="shared" ca="1" si="121"/>
        <v>2166792.7538685375</v>
      </c>
      <c r="AG144" s="12">
        <f t="shared" ca="1" si="122"/>
        <v>2249394.5456258678</v>
      </c>
      <c r="AH144" s="12">
        <f t="shared" ca="1" si="123"/>
        <v>2249394.5456258678</v>
      </c>
    </row>
    <row r="145" spans="2:34" x14ac:dyDescent="0.25">
      <c r="B145" s="6">
        <v>129</v>
      </c>
      <c r="D145" s="12">
        <f t="shared" ref="D145:D176" ca="1" si="124">$C$5*(1+NORMINV(RAND(),$C$8,$C$9))+$C$6</f>
        <v>191163.92523782802</v>
      </c>
      <c r="E145" s="12">
        <f t="shared" ref="E145:E176" ca="1" si="125">D145*(1+NORMINV(RAND(),$C$8,$C$9))+$C$6*(1+$C$7)^1</f>
        <v>237471.78534987051</v>
      </c>
      <c r="F145" s="12">
        <f t="shared" ref="F145:F176" ca="1" si="126">E145*(1+NORMINV(RAND(),$C$8,$C$9))+$C$6*(1+$C$7)^2</f>
        <v>270505.67260861548</v>
      </c>
      <c r="G145" s="12">
        <f t="shared" ref="G145:G176" ca="1" si="127">F145*(1+NORMINV(RAND(),$C$8,$C$9))+$C$6*(1+$C$7)^3</f>
        <v>252049.47832250144</v>
      </c>
      <c r="H145" s="12">
        <f t="shared" ref="H145:H176" ca="1" si="128">G145*(1+NORMINV(RAND(),$C$8,$C$9))+$C$6*(1+$C$7)^4</f>
        <v>288766.5011232578</v>
      </c>
      <c r="I145" s="12">
        <f t="shared" ref="I145:I176" ca="1" si="129">H145*(1+NORMINV(RAND(),$C$8,$C$9))+$C$6*(1+$C$7)^5</f>
        <v>296174.12114990235</v>
      </c>
      <c r="J145" s="12">
        <f t="shared" ref="J145:J176" ca="1" si="130">I145*(1+NORMINV(RAND(),$C$8,$C$9))+$C$6*(1+$C$7)^6</f>
        <v>285878.95841868751</v>
      </c>
      <c r="K145" s="12">
        <f t="shared" ref="K145:K176" ca="1" si="131">J145*(1+NORMINV(RAND(),$C$8,$C$9))+$C$6*(1+$C$7)^7</f>
        <v>314183.09218035237</v>
      </c>
      <c r="L145" s="12">
        <f t="shared" ref="L145:L176" ca="1" si="132">K145*(1+NORMINV(RAND(),$C$8,$C$9))+$C$6*(1+$C$7)^8</f>
        <v>444916.72219087853</v>
      </c>
      <c r="M145" s="12">
        <f t="shared" ref="M145:M176" ca="1" si="133">L145*(1+NORMINV(RAND(),$C$8,$C$9))+$C$6*(1+$C$7)^9</f>
        <v>559103.17532272055</v>
      </c>
      <c r="N145" s="12">
        <f t="shared" ref="N145:N176" ca="1" si="134">M145*(1+NORMINV(RAND(),$C$8,$C$9))+$C$6*(1+$C$7)^10</f>
        <v>566548.98002202006</v>
      </c>
      <c r="O145" s="12">
        <f t="shared" ref="O145:O176" ca="1" si="135">N145*(1+NORMINV(RAND(),$C$8,$C$9))+$C$6*(1+$C$7)^11</f>
        <v>539777.65531489137</v>
      </c>
      <c r="P145" s="12">
        <f t="shared" ref="P145:P176" ca="1" si="136">O145*(1+NORMINV(RAND(),$C$8,$C$9))+$C$6*(1+$C$7)^12</f>
        <v>705914.74260531494</v>
      </c>
      <c r="Q145" s="12">
        <f t="shared" ref="Q145:Q176" ca="1" si="137">P145*(1+NORMINV(RAND(),$C$8,$C$9))+$C$6*(1+$C$7)^13</f>
        <v>742008.90599062445</v>
      </c>
      <c r="R145" s="12">
        <f t="shared" ref="R145:R176" ca="1" si="138">Q145*(1+NORMINV(RAND(),$C$8,$C$9))+$C$6*(1+$C$7)^14</f>
        <v>697672.38070814661</v>
      </c>
      <c r="S145" s="12">
        <f t="shared" ref="S145:S176" ca="1" si="139">R145*(1+NORMINV(RAND(),$C$8,$C$9))+$C$6*(1+$C$7)^15</f>
        <v>746996.36419147719</v>
      </c>
      <c r="T145" s="12">
        <f t="shared" ref="T145:T176" ca="1" si="140">S145*(1+NORMINV(RAND(),$C$8,$C$9))+$C$6*(1+$C$7)^16</f>
        <v>794181.10921672441</v>
      </c>
      <c r="U145" s="12">
        <f t="shared" ref="U145:U176" ca="1" si="141">T145*(1+NORMINV(RAND(),$C$8,$C$9))+$C$6*(1+$C$7)^17</f>
        <v>898559.34037406964</v>
      </c>
      <c r="V145" s="12">
        <f t="shared" ref="V145:V176" ca="1" si="142">U145*(1+NORMINV(RAND(),$C$8,$C$9))+$C$6*(1+$C$7)^18</f>
        <v>931399.73001288215</v>
      </c>
      <c r="W145" s="12">
        <f t="shared" ref="W145:W176" ca="1" si="143">V145*(1+NORMINV(RAND(),$C$8,$C$9))+$C$6*(1+$C$7)^19</f>
        <v>940432.0218992267</v>
      </c>
      <c r="X145" s="12">
        <f t="shared" ref="X145:X176" ca="1" si="144">W145*(1+NORMINV(RAND(),$C$8,$C$9))+$C$6*(1+$C$7)^20</f>
        <v>1240165.7876302912</v>
      </c>
      <c r="Y145" s="12">
        <f t="shared" ref="Y145:Y176" ca="1" si="145">X145*(1+NORMINV(RAND(),$C$8,$C$9))+$C$6*(1+$C$7)^21</f>
        <v>1299051.5885307761</v>
      </c>
      <c r="Z145" s="12">
        <f t="shared" ref="Z145:Z176" ca="1" si="146">Y145*(1+NORMINV(RAND(),$C$8,$C$9))+$C$6*(1+$C$7)^22</f>
        <v>1281173.9306263637</v>
      </c>
      <c r="AA145" s="12">
        <f t="shared" ref="AA145:AA176" ca="1" si="147">Z145*(1+NORMINV(RAND(),$C$8,$C$9))+$C$6*(1+$C$7)^23</f>
        <v>1274375.4057299169</v>
      </c>
      <c r="AB145" s="12">
        <f t="shared" ref="AB145:AB176" ca="1" si="148">AA145*(1+NORMINV(RAND(),$C$8,$C$9))+$C$6*(1+$C$7)^24</f>
        <v>1323618.1995895219</v>
      </c>
      <c r="AC145" s="12">
        <f t="shared" ref="AC145:AC176" ca="1" si="149">AB145*(1+NORMINV(RAND(),$C$8,$C$9))+$C$6*(1+$C$7)^25</f>
        <v>1257661.847230287</v>
      </c>
      <c r="AD145" s="12">
        <f t="shared" ref="AD145:AD176" ca="1" si="150">AC145*(1+NORMINV(RAND(),$C$8,$C$9))+$C$6*(1+$C$7)^26</f>
        <v>959208.69950527628</v>
      </c>
      <c r="AE145" s="12">
        <f t="shared" ref="AE145:AE176" ca="1" si="151">AD145*(1+NORMINV(RAND(),$C$8,$C$9))+$C$6*(1+$C$7)^27</f>
        <v>919809.92621105781</v>
      </c>
      <c r="AF145" s="12">
        <f t="shared" ref="AF145:AF176" ca="1" si="152">AE145*(1+NORMINV(RAND(),$C$8,$C$9))+$C$6*(1+$C$7)^28</f>
        <v>1081835.9817279694</v>
      </c>
      <c r="AG145" s="12">
        <f t="shared" ref="AG145:AG176" ca="1" si="153">AF145*(1+NORMINV(RAND(),$C$8,$C$9))+$C$6*(1+$C$7)^29</f>
        <v>1030172.0160905585</v>
      </c>
      <c r="AH145" s="12">
        <f t="shared" ref="AH145:AH176" ca="1" si="154">AG145</f>
        <v>1030172.0160905585</v>
      </c>
    </row>
    <row r="146" spans="2:34" x14ac:dyDescent="0.25">
      <c r="B146" s="6">
        <v>130</v>
      </c>
      <c r="D146" s="12">
        <f t="shared" ca="1" si="124"/>
        <v>167501.55117667353</v>
      </c>
      <c r="E146" s="12">
        <f t="shared" ca="1" si="125"/>
        <v>208588.62750771205</v>
      </c>
      <c r="F146" s="12">
        <f t="shared" ca="1" si="126"/>
        <v>245907.27611442973</v>
      </c>
      <c r="G146" s="12">
        <f t="shared" ca="1" si="127"/>
        <v>253607.93028111479</v>
      </c>
      <c r="H146" s="12">
        <f t="shared" ca="1" si="128"/>
        <v>313412.04314368643</v>
      </c>
      <c r="I146" s="12">
        <f t="shared" ca="1" si="129"/>
        <v>333179.57435965852</v>
      </c>
      <c r="J146" s="12">
        <f t="shared" ca="1" si="130"/>
        <v>275460.20743279922</v>
      </c>
      <c r="K146" s="12">
        <f t="shared" ca="1" si="131"/>
        <v>281885.47991878807</v>
      </c>
      <c r="L146" s="12">
        <f t="shared" ca="1" si="132"/>
        <v>292541.98223956086</v>
      </c>
      <c r="M146" s="12">
        <f t="shared" ca="1" si="133"/>
        <v>253388.26593048571</v>
      </c>
      <c r="N146" s="12">
        <f t="shared" ca="1" si="134"/>
        <v>321812.40281884099</v>
      </c>
      <c r="O146" s="12">
        <f t="shared" ca="1" si="135"/>
        <v>356284.73612982041</v>
      </c>
      <c r="P146" s="12">
        <f t="shared" ca="1" si="136"/>
        <v>493257.02240427583</v>
      </c>
      <c r="Q146" s="12">
        <f t="shared" ca="1" si="137"/>
        <v>614747.01013931877</v>
      </c>
      <c r="R146" s="12">
        <f t="shared" ca="1" si="138"/>
        <v>610321.03957914584</v>
      </c>
      <c r="S146" s="12">
        <f t="shared" ca="1" si="139"/>
        <v>711517.75478250976</v>
      </c>
      <c r="T146" s="12">
        <f t="shared" ca="1" si="140"/>
        <v>851462.93486830068</v>
      </c>
      <c r="U146" s="12">
        <f t="shared" ca="1" si="141"/>
        <v>957748.77911923511</v>
      </c>
      <c r="V146" s="12">
        <f t="shared" ca="1" si="142"/>
        <v>1128409.7941168866</v>
      </c>
      <c r="W146" s="12">
        <f t="shared" ca="1" si="143"/>
        <v>1541489.7677457386</v>
      </c>
      <c r="X146" s="12">
        <f t="shared" ca="1" si="144"/>
        <v>1638132.5590800082</v>
      </c>
      <c r="Y146" s="12">
        <f t="shared" ca="1" si="145"/>
        <v>1526065.7017663429</v>
      </c>
      <c r="Z146" s="12">
        <f t="shared" ca="1" si="146"/>
        <v>1625808.5920397497</v>
      </c>
      <c r="AA146" s="12">
        <f t="shared" ca="1" si="147"/>
        <v>2196238.3943966711</v>
      </c>
      <c r="AB146" s="12">
        <f t="shared" ca="1" si="148"/>
        <v>1842416.769864422</v>
      </c>
      <c r="AC146" s="12">
        <f t="shared" ca="1" si="149"/>
        <v>2061339.7758821237</v>
      </c>
      <c r="AD146" s="12">
        <f t="shared" ca="1" si="150"/>
        <v>2202572.1101946146</v>
      </c>
      <c r="AE146" s="12">
        <f t="shared" ca="1" si="151"/>
        <v>2339852.6924038338</v>
      </c>
      <c r="AF146" s="12">
        <f t="shared" ca="1" si="152"/>
        <v>2502111.0822508209</v>
      </c>
      <c r="AG146" s="12">
        <f t="shared" ca="1" si="153"/>
        <v>2639109.3761874791</v>
      </c>
      <c r="AH146" s="12">
        <f t="shared" ca="1" si="154"/>
        <v>2639109.3761874791</v>
      </c>
    </row>
    <row r="147" spans="2:34" x14ac:dyDescent="0.25">
      <c r="B147" s="6">
        <v>131</v>
      </c>
      <c r="D147" s="12">
        <f t="shared" ca="1" si="124"/>
        <v>226982.40584120905</v>
      </c>
      <c r="E147" s="12">
        <f t="shared" ca="1" si="125"/>
        <v>278180.14652625326</v>
      </c>
      <c r="F147" s="12">
        <f t="shared" ca="1" si="126"/>
        <v>384542.77229529753</v>
      </c>
      <c r="G147" s="12">
        <f t="shared" ca="1" si="127"/>
        <v>365743.90101799299</v>
      </c>
      <c r="H147" s="12">
        <f t="shared" ca="1" si="128"/>
        <v>433674.24660335603</v>
      </c>
      <c r="I147" s="12">
        <f t="shared" ca="1" si="129"/>
        <v>479378.49122169503</v>
      </c>
      <c r="J147" s="12">
        <f t="shared" ca="1" si="130"/>
        <v>622133.0390590746</v>
      </c>
      <c r="K147" s="12">
        <f t="shared" ca="1" si="131"/>
        <v>572270.40757311578</v>
      </c>
      <c r="L147" s="12">
        <f t="shared" ca="1" si="132"/>
        <v>635545.43476061651</v>
      </c>
      <c r="M147" s="12">
        <f t="shared" ca="1" si="133"/>
        <v>594307.97575941961</v>
      </c>
      <c r="N147" s="12">
        <f t="shared" ca="1" si="134"/>
        <v>694334.67058039294</v>
      </c>
      <c r="O147" s="12">
        <f t="shared" ca="1" si="135"/>
        <v>951770.02406701446</v>
      </c>
      <c r="P147" s="12">
        <f t="shared" ca="1" si="136"/>
        <v>918003.88232304819</v>
      </c>
      <c r="Q147" s="12">
        <f t="shared" ca="1" si="137"/>
        <v>978667.10646973713</v>
      </c>
      <c r="R147" s="12">
        <f t="shared" ca="1" si="138"/>
        <v>1058050.0074993882</v>
      </c>
      <c r="S147" s="12">
        <f t="shared" ca="1" si="139"/>
        <v>920123.88618514931</v>
      </c>
      <c r="T147" s="12">
        <f t="shared" ca="1" si="140"/>
        <v>1129562.7379909055</v>
      </c>
      <c r="U147" s="12">
        <f t="shared" ca="1" si="141"/>
        <v>1320703.4431615553</v>
      </c>
      <c r="V147" s="12">
        <f t="shared" ca="1" si="142"/>
        <v>1532919.2132794049</v>
      </c>
      <c r="W147" s="12">
        <f t="shared" ca="1" si="143"/>
        <v>1638715.0015361246</v>
      </c>
      <c r="X147" s="12">
        <f t="shared" ca="1" si="144"/>
        <v>1773193.2212633737</v>
      </c>
      <c r="Y147" s="12">
        <f t="shared" ca="1" si="145"/>
        <v>1513595.0204673111</v>
      </c>
      <c r="Z147" s="12">
        <f t="shared" ca="1" si="146"/>
        <v>1712934.3493720528</v>
      </c>
      <c r="AA147" s="12">
        <f t="shared" ca="1" si="147"/>
        <v>1857380.6832327135</v>
      </c>
      <c r="AB147" s="12">
        <f t="shared" ca="1" si="148"/>
        <v>1882700.3275590939</v>
      </c>
      <c r="AC147" s="12">
        <f t="shared" ca="1" si="149"/>
        <v>1932267.3047900449</v>
      </c>
      <c r="AD147" s="12">
        <f t="shared" ca="1" si="150"/>
        <v>2342017.3467810727</v>
      </c>
      <c r="AE147" s="12">
        <f t="shared" ca="1" si="151"/>
        <v>2551563.5189271262</v>
      </c>
      <c r="AF147" s="12">
        <f t="shared" ca="1" si="152"/>
        <v>2359924.8616919913</v>
      </c>
      <c r="AG147" s="12">
        <f t="shared" ca="1" si="153"/>
        <v>2942672.606428972</v>
      </c>
      <c r="AH147" s="12">
        <f t="shared" ca="1" si="154"/>
        <v>2942672.606428972</v>
      </c>
    </row>
    <row r="148" spans="2:34" x14ac:dyDescent="0.25">
      <c r="B148" s="6">
        <v>132</v>
      </c>
      <c r="D148" s="12">
        <f t="shared" ca="1" si="124"/>
        <v>183309.42573316407</v>
      </c>
      <c r="E148" s="12">
        <f t="shared" ca="1" si="125"/>
        <v>228120.02387335501</v>
      </c>
      <c r="F148" s="12">
        <f t="shared" ca="1" si="126"/>
        <v>285914.00466518436</v>
      </c>
      <c r="G148" s="12">
        <f t="shared" ca="1" si="127"/>
        <v>330425.17183343018</v>
      </c>
      <c r="H148" s="12">
        <f t="shared" ca="1" si="128"/>
        <v>381424.60220430308</v>
      </c>
      <c r="I148" s="12">
        <f t="shared" ca="1" si="129"/>
        <v>454351.43170802935</v>
      </c>
      <c r="J148" s="12">
        <f t="shared" ca="1" si="130"/>
        <v>401600.72324176435</v>
      </c>
      <c r="K148" s="12">
        <f t="shared" ca="1" si="131"/>
        <v>491295.25323120825</v>
      </c>
      <c r="L148" s="12">
        <f t="shared" ca="1" si="132"/>
        <v>566239.96552980703</v>
      </c>
      <c r="M148" s="12">
        <f t="shared" ca="1" si="133"/>
        <v>544944.29953530396</v>
      </c>
      <c r="N148" s="12">
        <f t="shared" ca="1" si="134"/>
        <v>698627.17832035944</v>
      </c>
      <c r="O148" s="12">
        <f t="shared" ca="1" si="135"/>
        <v>741657.43587458367</v>
      </c>
      <c r="P148" s="12">
        <f t="shared" ca="1" si="136"/>
        <v>700395.409996178</v>
      </c>
      <c r="Q148" s="12">
        <f t="shared" ca="1" si="137"/>
        <v>934741.66185946064</v>
      </c>
      <c r="R148" s="12">
        <f t="shared" ca="1" si="138"/>
        <v>1080989.5034227499</v>
      </c>
      <c r="S148" s="12">
        <f t="shared" ca="1" si="139"/>
        <v>1284535.5459025032</v>
      </c>
      <c r="T148" s="12">
        <f t="shared" ca="1" si="140"/>
        <v>1458936.4050159459</v>
      </c>
      <c r="U148" s="12">
        <f t="shared" ca="1" si="141"/>
        <v>1767842.8947729175</v>
      </c>
      <c r="V148" s="12">
        <f t="shared" ca="1" si="142"/>
        <v>1848849.1082913757</v>
      </c>
      <c r="W148" s="12">
        <f t="shared" ca="1" si="143"/>
        <v>1872102.8597024211</v>
      </c>
      <c r="X148" s="12">
        <f t="shared" ca="1" si="144"/>
        <v>1949562.3479437027</v>
      </c>
      <c r="Y148" s="12">
        <f t="shared" ca="1" si="145"/>
        <v>1755800.1902706444</v>
      </c>
      <c r="Z148" s="12">
        <f t="shared" ca="1" si="146"/>
        <v>1448164.815846289</v>
      </c>
      <c r="AA148" s="12">
        <f t="shared" ca="1" si="147"/>
        <v>1554006.4378354501</v>
      </c>
      <c r="AB148" s="12">
        <f t="shared" ca="1" si="148"/>
        <v>1651141.8703393904</v>
      </c>
      <c r="AC148" s="12">
        <f t="shared" ca="1" si="149"/>
        <v>1936714.9969500615</v>
      </c>
      <c r="AD148" s="12">
        <f t="shared" ca="1" si="150"/>
        <v>2101150.6971331039</v>
      </c>
      <c r="AE148" s="12">
        <f t="shared" ca="1" si="151"/>
        <v>2625320.6873782547</v>
      </c>
      <c r="AF148" s="12">
        <f t="shared" ca="1" si="152"/>
        <v>2846553.3549959296</v>
      </c>
      <c r="AG148" s="12">
        <f t="shared" ca="1" si="153"/>
        <v>3198287.7827518163</v>
      </c>
      <c r="AH148" s="12">
        <f t="shared" ca="1" si="154"/>
        <v>3198287.7827518163</v>
      </c>
    </row>
    <row r="149" spans="2:34" x14ac:dyDescent="0.25">
      <c r="B149" s="6">
        <v>133</v>
      </c>
      <c r="D149" s="12">
        <f t="shared" ca="1" si="124"/>
        <v>183138.90078147894</v>
      </c>
      <c r="E149" s="12">
        <f t="shared" ca="1" si="125"/>
        <v>195458.02161828085</v>
      </c>
      <c r="F149" s="12">
        <f t="shared" ca="1" si="126"/>
        <v>251036.30003008686</v>
      </c>
      <c r="G149" s="12">
        <f t="shared" ca="1" si="127"/>
        <v>252397.44513933422</v>
      </c>
      <c r="H149" s="12">
        <f t="shared" ca="1" si="128"/>
        <v>306456.1402706902</v>
      </c>
      <c r="I149" s="12">
        <f t="shared" ca="1" si="129"/>
        <v>326107.26387204119</v>
      </c>
      <c r="J149" s="12">
        <f t="shared" ca="1" si="130"/>
        <v>320973.42704003735</v>
      </c>
      <c r="K149" s="12">
        <f t="shared" ca="1" si="131"/>
        <v>371414.61782715633</v>
      </c>
      <c r="L149" s="12">
        <f t="shared" ca="1" si="132"/>
        <v>432382.97530781798</v>
      </c>
      <c r="M149" s="12">
        <f t="shared" ca="1" si="133"/>
        <v>470769.46039528208</v>
      </c>
      <c r="N149" s="12">
        <f t="shared" ca="1" si="134"/>
        <v>434001.72127414646</v>
      </c>
      <c r="O149" s="12">
        <f t="shared" ca="1" si="135"/>
        <v>492955.16062597034</v>
      </c>
      <c r="P149" s="12">
        <f t="shared" ca="1" si="136"/>
        <v>564292.68030094169</v>
      </c>
      <c r="Q149" s="12">
        <f t="shared" ca="1" si="137"/>
        <v>566856.58824501419</v>
      </c>
      <c r="R149" s="12">
        <f t="shared" ca="1" si="138"/>
        <v>651434.01150375954</v>
      </c>
      <c r="S149" s="12">
        <f t="shared" ca="1" si="139"/>
        <v>708800.92883880856</v>
      </c>
      <c r="T149" s="12">
        <f t="shared" ca="1" si="140"/>
        <v>843992.37450540182</v>
      </c>
      <c r="U149" s="12">
        <f t="shared" ca="1" si="141"/>
        <v>891176.77661008807</v>
      </c>
      <c r="V149" s="12">
        <f t="shared" ca="1" si="142"/>
        <v>822745.02392202872</v>
      </c>
      <c r="W149" s="12">
        <f t="shared" ca="1" si="143"/>
        <v>820562.95359440625</v>
      </c>
      <c r="X149" s="12">
        <f t="shared" ca="1" si="144"/>
        <v>1034850.0140060303</v>
      </c>
      <c r="Y149" s="12">
        <f t="shared" ca="1" si="145"/>
        <v>1102703.4236087126</v>
      </c>
      <c r="Z149" s="12">
        <f t="shared" ca="1" si="146"/>
        <v>984706.58064889954</v>
      </c>
      <c r="AA149" s="12">
        <f t="shared" ca="1" si="147"/>
        <v>857523.22067865881</v>
      </c>
      <c r="AB149" s="12">
        <f t="shared" ca="1" si="148"/>
        <v>1002875.8164307741</v>
      </c>
      <c r="AC149" s="12">
        <f t="shared" ca="1" si="149"/>
        <v>1213611.8455510135</v>
      </c>
      <c r="AD149" s="12">
        <f t="shared" ca="1" si="150"/>
        <v>1259503.2250517339</v>
      </c>
      <c r="AE149" s="12">
        <f t="shared" ca="1" si="151"/>
        <v>1614106.6729442871</v>
      </c>
      <c r="AF149" s="12">
        <f t="shared" ca="1" si="152"/>
        <v>1579377.7336131816</v>
      </c>
      <c r="AG149" s="12">
        <f t="shared" ca="1" si="153"/>
        <v>1704254.2402283468</v>
      </c>
      <c r="AH149" s="12">
        <f t="shared" ca="1" si="154"/>
        <v>1704254.2402283468</v>
      </c>
    </row>
    <row r="150" spans="2:34" x14ac:dyDescent="0.25">
      <c r="B150" s="6">
        <v>134</v>
      </c>
      <c r="D150" s="12">
        <f t="shared" ca="1" si="124"/>
        <v>206671.37796123678</v>
      </c>
      <c r="E150" s="12">
        <f t="shared" ca="1" si="125"/>
        <v>208885.23222145636</v>
      </c>
      <c r="F150" s="12">
        <f t="shared" ca="1" si="126"/>
        <v>278539.58610419184</v>
      </c>
      <c r="G150" s="12">
        <f t="shared" ca="1" si="127"/>
        <v>316722.36079941073</v>
      </c>
      <c r="H150" s="12">
        <f t="shared" ca="1" si="128"/>
        <v>337792.50938112475</v>
      </c>
      <c r="I150" s="12">
        <f t="shared" ca="1" si="129"/>
        <v>422894.27222859854</v>
      </c>
      <c r="J150" s="12">
        <f t="shared" ca="1" si="130"/>
        <v>490147.56687794061</v>
      </c>
      <c r="K150" s="12">
        <f t="shared" ca="1" si="131"/>
        <v>566381.99488462624</v>
      </c>
      <c r="L150" s="12">
        <f t="shared" ca="1" si="132"/>
        <v>511458.22028507362</v>
      </c>
      <c r="M150" s="12">
        <f t="shared" ca="1" si="133"/>
        <v>573181.65660181001</v>
      </c>
      <c r="N150" s="12">
        <f t="shared" ca="1" si="134"/>
        <v>632595.81458183669</v>
      </c>
      <c r="O150" s="12">
        <f t="shared" ca="1" si="135"/>
        <v>619576.14942439739</v>
      </c>
      <c r="P150" s="12">
        <f t="shared" ca="1" si="136"/>
        <v>746432.11169278389</v>
      </c>
      <c r="Q150" s="12">
        <f t="shared" ca="1" si="137"/>
        <v>705360.20091819437</v>
      </c>
      <c r="R150" s="12">
        <f t="shared" ca="1" si="138"/>
        <v>682530.96352305869</v>
      </c>
      <c r="S150" s="12">
        <f t="shared" ca="1" si="139"/>
        <v>709744.58775428857</v>
      </c>
      <c r="T150" s="12">
        <f t="shared" ca="1" si="140"/>
        <v>795181.17572380684</v>
      </c>
      <c r="U150" s="12">
        <f t="shared" ca="1" si="141"/>
        <v>755283.92548601539</v>
      </c>
      <c r="V150" s="12">
        <f t="shared" ca="1" si="142"/>
        <v>904870.65139888797</v>
      </c>
      <c r="W150" s="12">
        <f t="shared" ca="1" si="143"/>
        <v>952873.50573363865</v>
      </c>
      <c r="X150" s="12">
        <f t="shared" ca="1" si="144"/>
        <v>960555.52865103923</v>
      </c>
      <c r="Y150" s="12">
        <f t="shared" ca="1" si="145"/>
        <v>989932.41074902215</v>
      </c>
      <c r="Z150" s="12">
        <f t="shared" ca="1" si="146"/>
        <v>1091250.7304314664</v>
      </c>
      <c r="AA150" s="12">
        <f t="shared" ca="1" si="147"/>
        <v>1099125.6430038193</v>
      </c>
      <c r="AB150" s="12">
        <f t="shared" ca="1" si="148"/>
        <v>1209417.7754831563</v>
      </c>
      <c r="AC150" s="12">
        <f t="shared" ca="1" si="149"/>
        <v>1358538.7047648164</v>
      </c>
      <c r="AD150" s="12">
        <f t="shared" ca="1" si="150"/>
        <v>1516989.6135084096</v>
      </c>
      <c r="AE150" s="12">
        <f t="shared" ca="1" si="151"/>
        <v>1620344.5878182261</v>
      </c>
      <c r="AF150" s="12">
        <f t="shared" ca="1" si="152"/>
        <v>1453611.1146925206</v>
      </c>
      <c r="AG150" s="12">
        <f t="shared" ca="1" si="153"/>
        <v>1530665.1451784535</v>
      </c>
      <c r="AH150" s="12">
        <f t="shared" ca="1" si="154"/>
        <v>1530665.1451784535</v>
      </c>
    </row>
    <row r="151" spans="2:34" x14ac:dyDescent="0.25">
      <c r="B151" s="6">
        <v>135</v>
      </c>
      <c r="D151" s="12">
        <f t="shared" ca="1" si="124"/>
        <v>169395.43746006378</v>
      </c>
      <c r="E151" s="12">
        <f t="shared" ca="1" si="125"/>
        <v>214044.25964058936</v>
      </c>
      <c r="F151" s="12">
        <f t="shared" ca="1" si="126"/>
        <v>248949.05340633553</v>
      </c>
      <c r="G151" s="12">
        <f t="shared" ca="1" si="127"/>
        <v>211668.02065368238</v>
      </c>
      <c r="H151" s="12">
        <f t="shared" ca="1" si="128"/>
        <v>247454.01041960967</v>
      </c>
      <c r="I151" s="12">
        <f t="shared" ca="1" si="129"/>
        <v>244634.08954104103</v>
      </c>
      <c r="J151" s="12">
        <f t="shared" ca="1" si="130"/>
        <v>241364.45513136219</v>
      </c>
      <c r="K151" s="12">
        <f t="shared" ca="1" si="131"/>
        <v>289302.17468045314</v>
      </c>
      <c r="L151" s="12">
        <f t="shared" ca="1" si="132"/>
        <v>369353.47055127093</v>
      </c>
      <c r="M151" s="12">
        <f t="shared" ca="1" si="133"/>
        <v>432347.5673919227</v>
      </c>
      <c r="N151" s="12">
        <f t="shared" ca="1" si="134"/>
        <v>373294.55594260385</v>
      </c>
      <c r="O151" s="12">
        <f t="shared" ca="1" si="135"/>
        <v>392963.17462858587</v>
      </c>
      <c r="P151" s="12">
        <f t="shared" ca="1" si="136"/>
        <v>506768.09477756586</v>
      </c>
      <c r="Q151" s="12">
        <f t="shared" ca="1" si="137"/>
        <v>615845.0773132341</v>
      </c>
      <c r="R151" s="12">
        <f t="shared" ca="1" si="138"/>
        <v>749893.07977850887</v>
      </c>
      <c r="S151" s="12">
        <f t="shared" ca="1" si="139"/>
        <v>837427.85712181602</v>
      </c>
      <c r="T151" s="12">
        <f t="shared" ca="1" si="140"/>
        <v>840462.59608506772</v>
      </c>
      <c r="U151" s="12">
        <f t="shared" ca="1" si="141"/>
        <v>977392.24765890627</v>
      </c>
      <c r="V151" s="12">
        <f t="shared" ca="1" si="142"/>
        <v>1185439.0244012193</v>
      </c>
      <c r="W151" s="12">
        <f t="shared" ca="1" si="143"/>
        <v>1363826.6952282772</v>
      </c>
      <c r="X151" s="12">
        <f t="shared" ca="1" si="144"/>
        <v>1496163.3699000019</v>
      </c>
      <c r="Y151" s="12">
        <f t="shared" ca="1" si="145"/>
        <v>1889737.1584789008</v>
      </c>
      <c r="Z151" s="12">
        <f t="shared" ca="1" si="146"/>
        <v>1932019.7436451716</v>
      </c>
      <c r="AA151" s="12">
        <f t="shared" ca="1" si="147"/>
        <v>1877439.6808717002</v>
      </c>
      <c r="AB151" s="12">
        <f t="shared" ca="1" si="148"/>
        <v>1614367.7351003122</v>
      </c>
      <c r="AC151" s="12">
        <f t="shared" ca="1" si="149"/>
        <v>1741319.3132821026</v>
      </c>
      <c r="AD151" s="12">
        <f t="shared" ca="1" si="150"/>
        <v>1972325.1814604464</v>
      </c>
      <c r="AE151" s="12">
        <f t="shared" ca="1" si="151"/>
        <v>2227198.8250612905</v>
      </c>
      <c r="AF151" s="12">
        <f t="shared" ca="1" si="152"/>
        <v>2063326.2848875395</v>
      </c>
      <c r="AG151" s="12">
        <f t="shared" ca="1" si="153"/>
        <v>2380730.1689596493</v>
      </c>
      <c r="AH151" s="12">
        <f t="shared" ca="1" si="154"/>
        <v>2380730.1689596493</v>
      </c>
    </row>
    <row r="152" spans="2:34" x14ac:dyDescent="0.25">
      <c r="B152" s="6">
        <v>136</v>
      </c>
      <c r="D152" s="12">
        <f t="shared" ca="1" si="124"/>
        <v>188170.79683246237</v>
      </c>
      <c r="E152" s="12">
        <f t="shared" ca="1" si="125"/>
        <v>198394.07048075955</v>
      </c>
      <c r="F152" s="12">
        <f t="shared" ca="1" si="126"/>
        <v>248146.08226378667</v>
      </c>
      <c r="G152" s="12">
        <f t="shared" ca="1" si="127"/>
        <v>300680.82499466208</v>
      </c>
      <c r="H152" s="12">
        <f t="shared" ca="1" si="128"/>
        <v>332371.74138011574</v>
      </c>
      <c r="I152" s="12">
        <f t="shared" ca="1" si="129"/>
        <v>322501.01164969616</v>
      </c>
      <c r="J152" s="12">
        <f t="shared" ca="1" si="130"/>
        <v>380913.49959865981</v>
      </c>
      <c r="K152" s="12">
        <f t="shared" ca="1" si="131"/>
        <v>475311.71672090329</v>
      </c>
      <c r="L152" s="12">
        <f t="shared" ca="1" si="132"/>
        <v>497785.15060071083</v>
      </c>
      <c r="M152" s="12">
        <f t="shared" ca="1" si="133"/>
        <v>706099.79908592009</v>
      </c>
      <c r="N152" s="12">
        <f t="shared" ca="1" si="134"/>
        <v>660936.70303615532</v>
      </c>
      <c r="O152" s="12">
        <f t="shared" ca="1" si="135"/>
        <v>749648.52682682767</v>
      </c>
      <c r="P152" s="12">
        <f t="shared" ca="1" si="136"/>
        <v>831049.39709260338</v>
      </c>
      <c r="Q152" s="12">
        <f t="shared" ca="1" si="137"/>
        <v>1011272.3531301486</v>
      </c>
      <c r="R152" s="12">
        <f t="shared" ca="1" si="138"/>
        <v>1128770.3190863137</v>
      </c>
      <c r="S152" s="12">
        <f t="shared" ca="1" si="139"/>
        <v>1017291.1472648821</v>
      </c>
      <c r="T152" s="12">
        <f t="shared" ca="1" si="140"/>
        <v>1166393.9397629336</v>
      </c>
      <c r="U152" s="12">
        <f t="shared" ca="1" si="141"/>
        <v>1358556.0571697289</v>
      </c>
      <c r="V152" s="12">
        <f t="shared" ca="1" si="142"/>
        <v>1245090.99605201</v>
      </c>
      <c r="W152" s="12">
        <f t="shared" ca="1" si="143"/>
        <v>1383467.8365058159</v>
      </c>
      <c r="X152" s="12">
        <f t="shared" ca="1" si="144"/>
        <v>1725852.8148837774</v>
      </c>
      <c r="Y152" s="12">
        <f t="shared" ca="1" si="145"/>
        <v>1677464.546018407</v>
      </c>
      <c r="Z152" s="12">
        <f t="shared" ca="1" si="146"/>
        <v>1618858.4188656702</v>
      </c>
      <c r="AA152" s="12">
        <f t="shared" ca="1" si="147"/>
        <v>1747463.178390983</v>
      </c>
      <c r="AB152" s="12">
        <f t="shared" ca="1" si="148"/>
        <v>1712208.2467239941</v>
      </c>
      <c r="AC152" s="12">
        <f t="shared" ca="1" si="149"/>
        <v>1869742.4941902284</v>
      </c>
      <c r="AD152" s="12">
        <f t="shared" ca="1" si="150"/>
        <v>2033898.064439581</v>
      </c>
      <c r="AE152" s="12">
        <f t="shared" ca="1" si="151"/>
        <v>2056579.506960223</v>
      </c>
      <c r="AF152" s="12">
        <f t="shared" ca="1" si="152"/>
        <v>2152979.9037894844</v>
      </c>
      <c r="AG152" s="12">
        <f t="shared" ca="1" si="153"/>
        <v>2211533.5188531061</v>
      </c>
      <c r="AH152" s="12">
        <f t="shared" ca="1" si="154"/>
        <v>2211533.5188531061</v>
      </c>
    </row>
    <row r="153" spans="2:34" x14ac:dyDescent="0.25">
      <c r="B153" s="6">
        <v>137</v>
      </c>
      <c r="D153" s="12">
        <f t="shared" ca="1" si="124"/>
        <v>204275.634299964</v>
      </c>
      <c r="E153" s="12">
        <f t="shared" ca="1" si="125"/>
        <v>233935.73253807746</v>
      </c>
      <c r="F153" s="12">
        <f t="shared" ca="1" si="126"/>
        <v>261675.11989410335</v>
      </c>
      <c r="G153" s="12">
        <f t="shared" ca="1" si="127"/>
        <v>251168.16269815192</v>
      </c>
      <c r="H153" s="12">
        <f t="shared" ca="1" si="128"/>
        <v>260393.52347408788</v>
      </c>
      <c r="I153" s="12">
        <f t="shared" ca="1" si="129"/>
        <v>307094.86427743617</v>
      </c>
      <c r="J153" s="12">
        <f t="shared" ca="1" si="130"/>
        <v>368331.68693075894</v>
      </c>
      <c r="K153" s="12">
        <f t="shared" ca="1" si="131"/>
        <v>413044.48253207229</v>
      </c>
      <c r="L153" s="12">
        <f t="shared" ca="1" si="132"/>
        <v>470753.01553867717</v>
      </c>
      <c r="M153" s="12">
        <f t="shared" ca="1" si="133"/>
        <v>600785.37369991769</v>
      </c>
      <c r="N153" s="12">
        <f t="shared" ca="1" si="134"/>
        <v>664620.76724040753</v>
      </c>
      <c r="O153" s="12">
        <f t="shared" ca="1" si="135"/>
        <v>672627.97796578705</v>
      </c>
      <c r="P153" s="12">
        <f t="shared" ca="1" si="136"/>
        <v>674216.27294292965</v>
      </c>
      <c r="Q153" s="12">
        <f t="shared" ca="1" si="137"/>
        <v>717093.99019691057</v>
      </c>
      <c r="R153" s="12">
        <f t="shared" ca="1" si="138"/>
        <v>745342.7973594279</v>
      </c>
      <c r="S153" s="12">
        <f t="shared" ca="1" si="139"/>
        <v>758439.61619775649</v>
      </c>
      <c r="T153" s="12">
        <f t="shared" ca="1" si="140"/>
        <v>875234.27418641455</v>
      </c>
      <c r="U153" s="12">
        <f t="shared" ca="1" si="141"/>
        <v>902257.03973996185</v>
      </c>
      <c r="V153" s="12">
        <f t="shared" ca="1" si="142"/>
        <v>1050024.711543266</v>
      </c>
      <c r="W153" s="12">
        <f t="shared" ca="1" si="143"/>
        <v>1352872.2690415441</v>
      </c>
      <c r="X153" s="12">
        <f t="shared" ca="1" si="144"/>
        <v>1376235.813726089</v>
      </c>
      <c r="Y153" s="12">
        <f t="shared" ca="1" si="145"/>
        <v>1265551.5554507396</v>
      </c>
      <c r="Z153" s="12">
        <f t="shared" ca="1" si="146"/>
        <v>1328541.3683293846</v>
      </c>
      <c r="AA153" s="12">
        <f t="shared" ca="1" si="147"/>
        <v>1431873.4557387545</v>
      </c>
      <c r="AB153" s="12">
        <f t="shared" ca="1" si="148"/>
        <v>1336401.9213300825</v>
      </c>
      <c r="AC153" s="12">
        <f t="shared" ca="1" si="149"/>
        <v>1638674.6034148736</v>
      </c>
      <c r="AD153" s="12">
        <f t="shared" ca="1" si="150"/>
        <v>1883803.8234181707</v>
      </c>
      <c r="AE153" s="12">
        <f t="shared" ca="1" si="151"/>
        <v>2249757.0713015301</v>
      </c>
      <c r="AF153" s="12">
        <f t="shared" ca="1" si="152"/>
        <v>2295867.4851199342</v>
      </c>
      <c r="AG153" s="12">
        <f t="shared" ca="1" si="153"/>
        <v>2420147.2731124661</v>
      </c>
      <c r="AH153" s="12">
        <f t="shared" ca="1" si="154"/>
        <v>2420147.2731124661</v>
      </c>
    </row>
    <row r="154" spans="2:34" x14ac:dyDescent="0.25">
      <c r="B154" s="6">
        <v>138</v>
      </c>
      <c r="D154" s="12">
        <f t="shared" ca="1" si="124"/>
        <v>199641.00345511874</v>
      </c>
      <c r="E154" s="12">
        <f t="shared" ca="1" si="125"/>
        <v>209595.06650977564</v>
      </c>
      <c r="F154" s="12">
        <f t="shared" ca="1" si="126"/>
        <v>239417.82641046387</v>
      </c>
      <c r="G154" s="12">
        <f t="shared" ca="1" si="127"/>
        <v>293900.83825435449</v>
      </c>
      <c r="H154" s="12">
        <f t="shared" ca="1" si="128"/>
        <v>378015.87932654715</v>
      </c>
      <c r="I154" s="12">
        <f t="shared" ca="1" si="129"/>
        <v>415407.63261906995</v>
      </c>
      <c r="J154" s="12">
        <f t="shared" ca="1" si="130"/>
        <v>508948.32137485757</v>
      </c>
      <c r="K154" s="12">
        <f t="shared" ca="1" si="131"/>
        <v>516985.47701675759</v>
      </c>
      <c r="L154" s="12">
        <f t="shared" ca="1" si="132"/>
        <v>584411.99496414594</v>
      </c>
      <c r="M154" s="12">
        <f t="shared" ca="1" si="133"/>
        <v>669642.71132890461</v>
      </c>
      <c r="N154" s="12">
        <f t="shared" ca="1" si="134"/>
        <v>750370.80110013438</v>
      </c>
      <c r="O154" s="12">
        <f t="shared" ca="1" si="135"/>
        <v>873774.62603650347</v>
      </c>
      <c r="P154" s="12">
        <f t="shared" ca="1" si="136"/>
        <v>980928.22646426922</v>
      </c>
      <c r="Q154" s="12">
        <f t="shared" ca="1" si="137"/>
        <v>1078941.7160893294</v>
      </c>
      <c r="R154" s="12">
        <f t="shared" ca="1" si="138"/>
        <v>1064598.6864376774</v>
      </c>
      <c r="S154" s="12">
        <f t="shared" ca="1" si="139"/>
        <v>1041675.1789222716</v>
      </c>
      <c r="T154" s="12">
        <f t="shared" ca="1" si="140"/>
        <v>1193529.6427975311</v>
      </c>
      <c r="U154" s="12">
        <f t="shared" ca="1" si="141"/>
        <v>1301212.8720859252</v>
      </c>
      <c r="V154" s="12">
        <f t="shared" ca="1" si="142"/>
        <v>1537528.011341634</v>
      </c>
      <c r="W154" s="12">
        <f t="shared" ca="1" si="143"/>
        <v>1955602.7323639682</v>
      </c>
      <c r="X154" s="12">
        <f t="shared" ca="1" si="144"/>
        <v>2112449.7417105255</v>
      </c>
      <c r="Y154" s="12">
        <f t="shared" ca="1" si="145"/>
        <v>2358217.5259202039</v>
      </c>
      <c r="Z154" s="12">
        <f t="shared" ca="1" si="146"/>
        <v>2914921.8083725371</v>
      </c>
      <c r="AA154" s="12">
        <f t="shared" ca="1" si="147"/>
        <v>3167658.5534580336</v>
      </c>
      <c r="AB154" s="12">
        <f t="shared" ca="1" si="148"/>
        <v>4275939.2168543134</v>
      </c>
      <c r="AC154" s="12">
        <f t="shared" ca="1" si="149"/>
        <v>4873515.1434038077</v>
      </c>
      <c r="AD154" s="12">
        <f t="shared" ca="1" si="150"/>
        <v>4466084.9170613475</v>
      </c>
      <c r="AE154" s="12">
        <f t="shared" ca="1" si="151"/>
        <v>4636060.6580863688</v>
      </c>
      <c r="AF154" s="12">
        <f t="shared" ca="1" si="152"/>
        <v>5496732.1805698117</v>
      </c>
      <c r="AG154" s="12">
        <f t="shared" ca="1" si="153"/>
        <v>5525447.7435508529</v>
      </c>
      <c r="AH154" s="12">
        <f t="shared" ca="1" si="154"/>
        <v>5525447.7435508529</v>
      </c>
    </row>
    <row r="155" spans="2:34" x14ac:dyDescent="0.25">
      <c r="B155" s="6">
        <v>139</v>
      </c>
      <c r="D155" s="12">
        <f t="shared" ca="1" si="124"/>
        <v>194022.8541671125</v>
      </c>
      <c r="E155" s="12">
        <f t="shared" ca="1" si="125"/>
        <v>218476.46995665348</v>
      </c>
      <c r="F155" s="12">
        <f t="shared" ca="1" si="126"/>
        <v>246180.51221055398</v>
      </c>
      <c r="G155" s="12">
        <f t="shared" ca="1" si="127"/>
        <v>250060.12121977506</v>
      </c>
      <c r="H155" s="12">
        <f t="shared" ca="1" si="128"/>
        <v>288329.55985226115</v>
      </c>
      <c r="I155" s="12">
        <f t="shared" ca="1" si="129"/>
        <v>347087.93717125827</v>
      </c>
      <c r="J155" s="12">
        <f t="shared" ca="1" si="130"/>
        <v>430738.14509911451</v>
      </c>
      <c r="K155" s="12">
        <f t="shared" ca="1" si="131"/>
        <v>448739.97660373204</v>
      </c>
      <c r="L155" s="12">
        <f t="shared" ca="1" si="132"/>
        <v>420927.83795430983</v>
      </c>
      <c r="M155" s="12">
        <f t="shared" ca="1" si="133"/>
        <v>577224.6785916735</v>
      </c>
      <c r="N155" s="12">
        <f t="shared" ca="1" si="134"/>
        <v>653968.59820620716</v>
      </c>
      <c r="O155" s="12">
        <f t="shared" ca="1" si="135"/>
        <v>674755.59882866323</v>
      </c>
      <c r="P155" s="12">
        <f t="shared" ca="1" si="136"/>
        <v>692352.43472867412</v>
      </c>
      <c r="Q155" s="12">
        <f t="shared" ca="1" si="137"/>
        <v>709332.89387434814</v>
      </c>
      <c r="R155" s="12">
        <f t="shared" ca="1" si="138"/>
        <v>724603.26118742698</v>
      </c>
      <c r="S155" s="12">
        <f t="shared" ca="1" si="139"/>
        <v>949077.77178281732</v>
      </c>
      <c r="T155" s="12">
        <f t="shared" ca="1" si="140"/>
        <v>963501.82549078169</v>
      </c>
      <c r="U155" s="12">
        <f t="shared" ca="1" si="141"/>
        <v>1125384.0062278896</v>
      </c>
      <c r="V155" s="12">
        <f t="shared" ca="1" si="142"/>
        <v>1230781.3732816111</v>
      </c>
      <c r="W155" s="12">
        <f t="shared" ca="1" si="143"/>
        <v>1310293.2606848052</v>
      </c>
      <c r="X155" s="12">
        <f t="shared" ca="1" si="144"/>
        <v>1412870.3765245818</v>
      </c>
      <c r="Y155" s="12">
        <f t="shared" ca="1" si="145"/>
        <v>1435322.6343557795</v>
      </c>
      <c r="Z155" s="12">
        <f t="shared" ca="1" si="146"/>
        <v>1311263.480141595</v>
      </c>
      <c r="AA155" s="12">
        <f t="shared" ca="1" si="147"/>
        <v>1586069.1960882235</v>
      </c>
      <c r="AB155" s="12">
        <f t="shared" ca="1" si="148"/>
        <v>1343761.8947009875</v>
      </c>
      <c r="AC155" s="12">
        <f t="shared" ca="1" si="149"/>
        <v>1339799.425776511</v>
      </c>
      <c r="AD155" s="12">
        <f t="shared" ca="1" si="150"/>
        <v>1521508.3225405829</v>
      </c>
      <c r="AE155" s="12">
        <f t="shared" ca="1" si="151"/>
        <v>1886548.0563257718</v>
      </c>
      <c r="AF155" s="12">
        <f t="shared" ca="1" si="152"/>
        <v>2239594.7940179175</v>
      </c>
      <c r="AG155" s="12">
        <f t="shared" ca="1" si="153"/>
        <v>2346101.9569927426</v>
      </c>
      <c r="AH155" s="12">
        <f t="shared" ca="1" si="154"/>
        <v>2346101.9569927426</v>
      </c>
    </row>
    <row r="156" spans="2:34" x14ac:dyDescent="0.25">
      <c r="B156" s="6">
        <v>140</v>
      </c>
      <c r="D156" s="12">
        <f t="shared" ca="1" si="124"/>
        <v>189320.17424273971</v>
      </c>
      <c r="E156" s="12">
        <f t="shared" ca="1" si="125"/>
        <v>222575.27044836141</v>
      </c>
      <c r="F156" s="12">
        <f t="shared" ca="1" si="126"/>
        <v>228596.86162521059</v>
      </c>
      <c r="G156" s="12">
        <f t="shared" ca="1" si="127"/>
        <v>265484.28130888037</v>
      </c>
      <c r="H156" s="12">
        <f t="shared" ca="1" si="128"/>
        <v>337149.04261625448</v>
      </c>
      <c r="I156" s="12">
        <f t="shared" ca="1" si="129"/>
        <v>437166.86926440522</v>
      </c>
      <c r="J156" s="12">
        <f t="shared" ca="1" si="130"/>
        <v>454643.78290083754</v>
      </c>
      <c r="K156" s="12">
        <f t="shared" ca="1" si="131"/>
        <v>552380.02577880211</v>
      </c>
      <c r="L156" s="12">
        <f t="shared" ca="1" si="132"/>
        <v>574649.23827322258</v>
      </c>
      <c r="M156" s="12">
        <f t="shared" ca="1" si="133"/>
        <v>517581.08269191219</v>
      </c>
      <c r="N156" s="12">
        <f t="shared" ca="1" si="134"/>
        <v>575761.24909759033</v>
      </c>
      <c r="O156" s="12">
        <f t="shared" ca="1" si="135"/>
        <v>746921.00650749414</v>
      </c>
      <c r="P156" s="12">
        <f t="shared" ca="1" si="136"/>
        <v>969297.27593064285</v>
      </c>
      <c r="Q156" s="12">
        <f t="shared" ca="1" si="137"/>
        <v>853101.79682434583</v>
      </c>
      <c r="R156" s="12">
        <f t="shared" ca="1" si="138"/>
        <v>1123583.6756759677</v>
      </c>
      <c r="S156" s="12">
        <f t="shared" ca="1" si="139"/>
        <v>969435.89888506406</v>
      </c>
      <c r="T156" s="12">
        <f t="shared" ca="1" si="140"/>
        <v>1179763.4855493957</v>
      </c>
      <c r="U156" s="12">
        <f t="shared" ca="1" si="141"/>
        <v>1075465.3316979664</v>
      </c>
      <c r="V156" s="12">
        <f t="shared" ca="1" si="142"/>
        <v>1086327.4402339954</v>
      </c>
      <c r="W156" s="12">
        <f t="shared" ca="1" si="143"/>
        <v>1235159.7841350043</v>
      </c>
      <c r="X156" s="12">
        <f t="shared" ca="1" si="144"/>
        <v>1343649.4164009336</v>
      </c>
      <c r="Y156" s="12">
        <f t="shared" ca="1" si="145"/>
        <v>1435717.8564763754</v>
      </c>
      <c r="Z156" s="12">
        <f t="shared" ca="1" si="146"/>
        <v>1532142.5312267444</v>
      </c>
      <c r="AA156" s="12">
        <f t="shared" ca="1" si="147"/>
        <v>1472068.6980798296</v>
      </c>
      <c r="AB156" s="12">
        <f t="shared" ca="1" si="148"/>
        <v>1248489.157764799</v>
      </c>
      <c r="AC156" s="12">
        <f t="shared" ca="1" si="149"/>
        <v>1221448.1922252518</v>
      </c>
      <c r="AD156" s="12">
        <f t="shared" ca="1" si="150"/>
        <v>1280387.7731218403</v>
      </c>
      <c r="AE156" s="12">
        <f t="shared" ca="1" si="151"/>
        <v>1546895.5999254093</v>
      </c>
      <c r="AF156" s="12">
        <f t="shared" ca="1" si="152"/>
        <v>1799977.3416419504</v>
      </c>
      <c r="AG156" s="12">
        <f t="shared" ca="1" si="153"/>
        <v>2008394.5752393987</v>
      </c>
      <c r="AH156" s="12">
        <f t="shared" ca="1" si="154"/>
        <v>2008394.5752393987</v>
      </c>
    </row>
    <row r="157" spans="2:34" x14ac:dyDescent="0.25">
      <c r="B157" s="6">
        <v>141</v>
      </c>
      <c r="D157" s="12">
        <f t="shared" ca="1" si="124"/>
        <v>162200.41649671123</v>
      </c>
      <c r="E157" s="12">
        <f t="shared" ca="1" si="125"/>
        <v>187163.46475326252</v>
      </c>
      <c r="F157" s="12">
        <f t="shared" ca="1" si="126"/>
        <v>238760.57845667709</v>
      </c>
      <c r="G157" s="12">
        <f t="shared" ca="1" si="127"/>
        <v>303842.93682120193</v>
      </c>
      <c r="H157" s="12">
        <f t="shared" ca="1" si="128"/>
        <v>398524.50030832947</v>
      </c>
      <c r="I157" s="12">
        <f t="shared" ca="1" si="129"/>
        <v>466254.38246176229</v>
      </c>
      <c r="J157" s="12">
        <f t="shared" ca="1" si="130"/>
        <v>538534.452787093</v>
      </c>
      <c r="K157" s="12">
        <f t="shared" ca="1" si="131"/>
        <v>598270.03810838901</v>
      </c>
      <c r="L157" s="12">
        <f t="shared" ca="1" si="132"/>
        <v>597201.10819446563</v>
      </c>
      <c r="M157" s="12">
        <f t="shared" ca="1" si="133"/>
        <v>736633.22091040225</v>
      </c>
      <c r="N157" s="12">
        <f t="shared" ca="1" si="134"/>
        <v>798644.53997875389</v>
      </c>
      <c r="O157" s="12">
        <f t="shared" ca="1" si="135"/>
        <v>840450.91288849444</v>
      </c>
      <c r="P157" s="12">
        <f t="shared" ca="1" si="136"/>
        <v>819182.75284628954</v>
      </c>
      <c r="Q157" s="12">
        <f t="shared" ca="1" si="137"/>
        <v>898918.86577370355</v>
      </c>
      <c r="R157" s="12">
        <f t="shared" ca="1" si="138"/>
        <v>957496.86138653907</v>
      </c>
      <c r="S157" s="12">
        <f t="shared" ca="1" si="139"/>
        <v>933613.34074129083</v>
      </c>
      <c r="T157" s="12">
        <f t="shared" ca="1" si="140"/>
        <v>974473.29355131276</v>
      </c>
      <c r="U157" s="12">
        <f t="shared" ca="1" si="141"/>
        <v>1047041.7148225844</v>
      </c>
      <c r="V157" s="12">
        <f t="shared" ca="1" si="142"/>
        <v>1111726.4623775992</v>
      </c>
      <c r="W157" s="12">
        <f t="shared" ca="1" si="143"/>
        <v>1268098.1514892727</v>
      </c>
      <c r="X157" s="12">
        <f t="shared" ca="1" si="144"/>
        <v>1596717.5662443016</v>
      </c>
      <c r="Y157" s="12">
        <f t="shared" ca="1" si="145"/>
        <v>1719400.9594576501</v>
      </c>
      <c r="Z157" s="12">
        <f t="shared" ca="1" si="146"/>
        <v>2026365.1947787208</v>
      </c>
      <c r="AA157" s="12">
        <f t="shared" ca="1" si="147"/>
        <v>2487360.8025167431</v>
      </c>
      <c r="AB157" s="12">
        <f t="shared" ca="1" si="148"/>
        <v>2450282.6604784471</v>
      </c>
      <c r="AC157" s="12">
        <f t="shared" ca="1" si="149"/>
        <v>2235128.9867230169</v>
      </c>
      <c r="AD157" s="12">
        <f t="shared" ca="1" si="150"/>
        <v>2444339.2937048785</v>
      </c>
      <c r="AE157" s="12">
        <f t="shared" ca="1" si="151"/>
        <v>3486365.4337621364</v>
      </c>
      <c r="AF157" s="12">
        <f t="shared" ca="1" si="152"/>
        <v>3635658.3464153688</v>
      </c>
      <c r="AG157" s="12">
        <f t="shared" ca="1" si="153"/>
        <v>3898619.5750313583</v>
      </c>
      <c r="AH157" s="12">
        <f t="shared" ca="1" si="154"/>
        <v>3898619.5750313583</v>
      </c>
    </row>
    <row r="158" spans="2:34" x14ac:dyDescent="0.25">
      <c r="B158" s="6">
        <v>142</v>
      </c>
      <c r="D158" s="12">
        <f t="shared" ca="1" si="124"/>
        <v>217047.77449934272</v>
      </c>
      <c r="E158" s="12">
        <f t="shared" ca="1" si="125"/>
        <v>210210.64689551765</v>
      </c>
      <c r="F158" s="12">
        <f t="shared" ca="1" si="126"/>
        <v>269408.26016541134</v>
      </c>
      <c r="G158" s="12">
        <f t="shared" ca="1" si="127"/>
        <v>287853.23181136063</v>
      </c>
      <c r="H158" s="12">
        <f t="shared" ca="1" si="128"/>
        <v>355292.76158831071</v>
      </c>
      <c r="I158" s="12">
        <f t="shared" ca="1" si="129"/>
        <v>453223.06246852817</v>
      </c>
      <c r="J158" s="12">
        <f t="shared" ca="1" si="130"/>
        <v>468150.91820508201</v>
      </c>
      <c r="K158" s="12">
        <f t="shared" ca="1" si="131"/>
        <v>512142.74352404912</v>
      </c>
      <c r="L158" s="12">
        <f t="shared" ca="1" si="132"/>
        <v>591511.05601706123</v>
      </c>
      <c r="M158" s="12">
        <f t="shared" ca="1" si="133"/>
        <v>574122.03476905357</v>
      </c>
      <c r="N158" s="12">
        <f t="shared" ca="1" si="134"/>
        <v>702037.44525260013</v>
      </c>
      <c r="O158" s="12">
        <f t="shared" ca="1" si="135"/>
        <v>695813.65776087332</v>
      </c>
      <c r="P158" s="12">
        <f t="shared" ca="1" si="136"/>
        <v>800437.33947450179</v>
      </c>
      <c r="Q158" s="12">
        <f t="shared" ca="1" si="137"/>
        <v>712911.79063978361</v>
      </c>
      <c r="R158" s="12">
        <f t="shared" ca="1" si="138"/>
        <v>753873.82608442835</v>
      </c>
      <c r="S158" s="12">
        <f t="shared" ca="1" si="139"/>
        <v>741051.80184838374</v>
      </c>
      <c r="T158" s="12">
        <f t="shared" ca="1" si="140"/>
        <v>694920.94787824445</v>
      </c>
      <c r="U158" s="12">
        <f t="shared" ca="1" si="141"/>
        <v>824032.15817459475</v>
      </c>
      <c r="V158" s="12">
        <f t="shared" ca="1" si="142"/>
        <v>1059775.5601942434</v>
      </c>
      <c r="W158" s="12">
        <f t="shared" ca="1" si="143"/>
        <v>1222076.7533104434</v>
      </c>
      <c r="X158" s="12">
        <f t="shared" ca="1" si="144"/>
        <v>1362520.1236001644</v>
      </c>
      <c r="Y158" s="12">
        <f t="shared" ca="1" si="145"/>
        <v>1433872.8668743675</v>
      </c>
      <c r="Z158" s="12">
        <f t="shared" ca="1" si="146"/>
        <v>1764142.083087683</v>
      </c>
      <c r="AA158" s="12">
        <f t="shared" ca="1" si="147"/>
        <v>2094462.5473386031</v>
      </c>
      <c r="AB158" s="12">
        <f t="shared" ca="1" si="148"/>
        <v>2666835.7151280427</v>
      </c>
      <c r="AC158" s="12">
        <f t="shared" ca="1" si="149"/>
        <v>2892297.4905330478</v>
      </c>
      <c r="AD158" s="12">
        <f t="shared" ca="1" si="150"/>
        <v>2848669.3198982961</v>
      </c>
      <c r="AE158" s="12">
        <f t="shared" ca="1" si="151"/>
        <v>2996213.7257353156</v>
      </c>
      <c r="AF158" s="12">
        <f t="shared" ca="1" si="152"/>
        <v>2431276.935596813</v>
      </c>
      <c r="AG158" s="12">
        <f t="shared" ca="1" si="153"/>
        <v>2157453.7438620753</v>
      </c>
      <c r="AH158" s="12">
        <f t="shared" ca="1" si="154"/>
        <v>2157453.7438620753</v>
      </c>
    </row>
    <row r="159" spans="2:34" x14ac:dyDescent="0.25">
      <c r="B159" s="6">
        <v>143</v>
      </c>
      <c r="D159" s="12">
        <f t="shared" ca="1" si="124"/>
        <v>175471.84507248623</v>
      </c>
      <c r="E159" s="12">
        <f t="shared" ca="1" si="125"/>
        <v>189803.35654582299</v>
      </c>
      <c r="F159" s="12">
        <f t="shared" ca="1" si="126"/>
        <v>208128.17839991636</v>
      </c>
      <c r="G159" s="12">
        <f t="shared" ca="1" si="127"/>
        <v>227664.46346301184</v>
      </c>
      <c r="H159" s="12">
        <f t="shared" ca="1" si="128"/>
        <v>281460.8952512219</v>
      </c>
      <c r="I159" s="12">
        <f t="shared" ca="1" si="129"/>
        <v>346725.84850885067</v>
      </c>
      <c r="J159" s="12">
        <f t="shared" ca="1" si="130"/>
        <v>389298.06385583576</v>
      </c>
      <c r="K159" s="12">
        <f t="shared" ca="1" si="131"/>
        <v>484006.1711319618</v>
      </c>
      <c r="L159" s="12">
        <f t="shared" ca="1" si="132"/>
        <v>572000.43415424938</v>
      </c>
      <c r="M159" s="12">
        <f t="shared" ca="1" si="133"/>
        <v>682957.21714557556</v>
      </c>
      <c r="N159" s="12">
        <f t="shared" ca="1" si="134"/>
        <v>760786.32204150991</v>
      </c>
      <c r="O159" s="12">
        <f t="shared" ca="1" si="135"/>
        <v>802835.40399297909</v>
      </c>
      <c r="P159" s="12">
        <f t="shared" ca="1" si="136"/>
        <v>932196.69016958505</v>
      </c>
      <c r="Q159" s="12">
        <f t="shared" ca="1" si="137"/>
        <v>1145975.41479308</v>
      </c>
      <c r="R159" s="12">
        <f t="shared" ca="1" si="138"/>
        <v>1074425.2754175784</v>
      </c>
      <c r="S159" s="12">
        <f t="shared" ca="1" si="139"/>
        <v>1178990.8447379959</v>
      </c>
      <c r="T159" s="12">
        <f t="shared" ca="1" si="140"/>
        <v>1450580.4287345784</v>
      </c>
      <c r="U159" s="12">
        <f t="shared" ca="1" si="141"/>
        <v>1309894.1920215602</v>
      </c>
      <c r="V159" s="12">
        <f t="shared" ca="1" si="142"/>
        <v>1258139.2254091362</v>
      </c>
      <c r="W159" s="12">
        <f t="shared" ca="1" si="143"/>
        <v>1195318.7406771209</v>
      </c>
      <c r="X159" s="12">
        <f t="shared" ca="1" si="144"/>
        <v>1255363.9553035542</v>
      </c>
      <c r="Y159" s="12">
        <f t="shared" ca="1" si="145"/>
        <v>1340840.8566933814</v>
      </c>
      <c r="Z159" s="12">
        <f t="shared" ca="1" si="146"/>
        <v>1263422.7445705219</v>
      </c>
      <c r="AA159" s="12">
        <f t="shared" ca="1" si="147"/>
        <v>1374888.3548893637</v>
      </c>
      <c r="AB159" s="12">
        <f t="shared" ca="1" si="148"/>
        <v>1556191.973574898</v>
      </c>
      <c r="AC159" s="12">
        <f t="shared" ca="1" si="149"/>
        <v>1265118.3685199367</v>
      </c>
      <c r="AD159" s="12">
        <f t="shared" ca="1" si="150"/>
        <v>1522840.711464328</v>
      </c>
      <c r="AE159" s="12">
        <f t="shared" ca="1" si="151"/>
        <v>1525931.5928716336</v>
      </c>
      <c r="AF159" s="12">
        <f t="shared" ca="1" si="152"/>
        <v>1546792.7928744182</v>
      </c>
      <c r="AG159" s="12">
        <f t="shared" ca="1" si="153"/>
        <v>1745439.3312708642</v>
      </c>
      <c r="AH159" s="12">
        <f t="shared" ca="1" si="154"/>
        <v>1745439.3312708642</v>
      </c>
    </row>
    <row r="160" spans="2:34" x14ac:dyDescent="0.25">
      <c r="B160" s="6">
        <v>144</v>
      </c>
      <c r="D160" s="12">
        <f t="shared" ca="1" si="124"/>
        <v>190149.4750689943</v>
      </c>
      <c r="E160" s="12">
        <f t="shared" ca="1" si="125"/>
        <v>187542.6080015215</v>
      </c>
      <c r="F160" s="12">
        <f t="shared" ca="1" si="126"/>
        <v>225115.0589596738</v>
      </c>
      <c r="G160" s="12">
        <f t="shared" ca="1" si="127"/>
        <v>268013.96068244375</v>
      </c>
      <c r="H160" s="12">
        <f t="shared" ca="1" si="128"/>
        <v>301917.60577666946</v>
      </c>
      <c r="I160" s="12">
        <f t="shared" ca="1" si="129"/>
        <v>300134.58612515213</v>
      </c>
      <c r="J160" s="12">
        <f t="shared" ca="1" si="130"/>
        <v>359021.22713027202</v>
      </c>
      <c r="K160" s="12">
        <f t="shared" ca="1" si="131"/>
        <v>418947.701898687</v>
      </c>
      <c r="L160" s="12">
        <f t="shared" ca="1" si="132"/>
        <v>486717.74415535049</v>
      </c>
      <c r="M160" s="12">
        <f t="shared" ca="1" si="133"/>
        <v>544566.38529733988</v>
      </c>
      <c r="N160" s="12">
        <f t="shared" ca="1" si="134"/>
        <v>680749.68901309546</v>
      </c>
      <c r="O160" s="12">
        <f t="shared" ca="1" si="135"/>
        <v>716876.10770244978</v>
      </c>
      <c r="P160" s="12">
        <f t="shared" ca="1" si="136"/>
        <v>832729.23549882125</v>
      </c>
      <c r="Q160" s="12">
        <f t="shared" ca="1" si="137"/>
        <v>889687.45442554459</v>
      </c>
      <c r="R160" s="12">
        <f t="shared" ca="1" si="138"/>
        <v>943083.26743788028</v>
      </c>
      <c r="S160" s="12">
        <f t="shared" ca="1" si="139"/>
        <v>1236151.7686948716</v>
      </c>
      <c r="T160" s="12">
        <f t="shared" ca="1" si="140"/>
        <v>1397487.8060658432</v>
      </c>
      <c r="U160" s="12">
        <f t="shared" ca="1" si="141"/>
        <v>1198298.2157920985</v>
      </c>
      <c r="V160" s="12">
        <f t="shared" ca="1" si="142"/>
        <v>1448186.5854708406</v>
      </c>
      <c r="W160" s="12">
        <f t="shared" ca="1" si="143"/>
        <v>1569173.3852441031</v>
      </c>
      <c r="X160" s="12">
        <f t="shared" ca="1" si="144"/>
        <v>1731348.8757791023</v>
      </c>
      <c r="Y160" s="12">
        <f t="shared" ca="1" si="145"/>
        <v>2044931.1853340128</v>
      </c>
      <c r="Z160" s="12">
        <f t="shared" ca="1" si="146"/>
        <v>1993512.8086076565</v>
      </c>
      <c r="AA160" s="12">
        <f t="shared" ca="1" si="147"/>
        <v>1865590.9822538723</v>
      </c>
      <c r="AB160" s="12">
        <f t="shared" ca="1" si="148"/>
        <v>1610115.6863538004</v>
      </c>
      <c r="AC160" s="12">
        <f t="shared" ca="1" si="149"/>
        <v>1726704.5846226898</v>
      </c>
      <c r="AD160" s="12">
        <f t="shared" ca="1" si="150"/>
        <v>1933027.6117111437</v>
      </c>
      <c r="AE160" s="12">
        <f t="shared" ca="1" si="151"/>
        <v>2278764.3599998555</v>
      </c>
      <c r="AF160" s="12">
        <f t="shared" ca="1" si="152"/>
        <v>2212141.603172522</v>
      </c>
      <c r="AG160" s="12">
        <f t="shared" ca="1" si="153"/>
        <v>2857558.2446897859</v>
      </c>
      <c r="AH160" s="12">
        <f t="shared" ca="1" si="154"/>
        <v>2857558.2446897859</v>
      </c>
    </row>
    <row r="161" spans="2:34" x14ac:dyDescent="0.25">
      <c r="B161" s="6">
        <v>145</v>
      </c>
      <c r="D161" s="12">
        <f t="shared" ca="1" si="124"/>
        <v>207135.3280586561</v>
      </c>
      <c r="E161" s="12">
        <f t="shared" ca="1" si="125"/>
        <v>214713.72090434708</v>
      </c>
      <c r="F161" s="12">
        <f t="shared" ca="1" si="126"/>
        <v>260385.41594583075</v>
      </c>
      <c r="G161" s="12">
        <f t="shared" ca="1" si="127"/>
        <v>318860.01248520135</v>
      </c>
      <c r="H161" s="12">
        <f t="shared" ca="1" si="128"/>
        <v>310689.76495815703</v>
      </c>
      <c r="I161" s="12">
        <f t="shared" ca="1" si="129"/>
        <v>315946.46474283928</v>
      </c>
      <c r="J161" s="12">
        <f t="shared" ca="1" si="130"/>
        <v>357692.56411790842</v>
      </c>
      <c r="K161" s="12">
        <f t="shared" ca="1" si="131"/>
        <v>507990.26612356724</v>
      </c>
      <c r="L161" s="12">
        <f t="shared" ca="1" si="132"/>
        <v>563047.06615510513</v>
      </c>
      <c r="M161" s="12">
        <f t="shared" ca="1" si="133"/>
        <v>593566.74515697942</v>
      </c>
      <c r="N161" s="12">
        <f t="shared" ca="1" si="134"/>
        <v>672391.62021344935</v>
      </c>
      <c r="O161" s="12">
        <f t="shared" ca="1" si="135"/>
        <v>792344.82850459544</v>
      </c>
      <c r="P161" s="12">
        <f t="shared" ca="1" si="136"/>
        <v>846513.38186704915</v>
      </c>
      <c r="Q161" s="12">
        <f t="shared" ca="1" si="137"/>
        <v>990790.63505229109</v>
      </c>
      <c r="R161" s="12">
        <f t="shared" ca="1" si="138"/>
        <v>1030721.0296787291</v>
      </c>
      <c r="S161" s="12">
        <f t="shared" ca="1" si="139"/>
        <v>1032548.1469133531</v>
      </c>
      <c r="T161" s="12">
        <f t="shared" ca="1" si="140"/>
        <v>791201.94532897207</v>
      </c>
      <c r="U161" s="12">
        <f t="shared" ca="1" si="141"/>
        <v>932989.90717607387</v>
      </c>
      <c r="V161" s="12">
        <f t="shared" ca="1" si="142"/>
        <v>1127515.545411987</v>
      </c>
      <c r="W161" s="12">
        <f t="shared" ca="1" si="143"/>
        <v>1066217.885549878</v>
      </c>
      <c r="X161" s="12">
        <f t="shared" ca="1" si="144"/>
        <v>1074946.9438523934</v>
      </c>
      <c r="Y161" s="12">
        <f t="shared" ca="1" si="145"/>
        <v>1087331.1086850043</v>
      </c>
      <c r="Z161" s="12">
        <f t="shared" ca="1" si="146"/>
        <v>1054641.1151878075</v>
      </c>
      <c r="AA161" s="12">
        <f t="shared" ca="1" si="147"/>
        <v>913421.44624317368</v>
      </c>
      <c r="AB161" s="12">
        <f t="shared" ca="1" si="148"/>
        <v>947487.4545168007</v>
      </c>
      <c r="AC161" s="12">
        <f t="shared" ca="1" si="149"/>
        <v>809346.61255115608</v>
      </c>
      <c r="AD161" s="12">
        <f t="shared" ca="1" si="150"/>
        <v>875817.48602530232</v>
      </c>
      <c r="AE161" s="12">
        <f t="shared" ca="1" si="151"/>
        <v>905447.75819538371</v>
      </c>
      <c r="AF161" s="12">
        <f t="shared" ca="1" si="152"/>
        <v>791904.25686273957</v>
      </c>
      <c r="AG161" s="12">
        <f t="shared" ca="1" si="153"/>
        <v>1023301.8008352846</v>
      </c>
      <c r="AH161" s="12">
        <f t="shared" ca="1" si="154"/>
        <v>1023301.8008352846</v>
      </c>
    </row>
    <row r="162" spans="2:34" x14ac:dyDescent="0.25">
      <c r="B162" s="6">
        <v>146</v>
      </c>
      <c r="D162" s="12">
        <f t="shared" ca="1" si="124"/>
        <v>173104.55987261864</v>
      </c>
      <c r="E162" s="12">
        <f t="shared" ca="1" si="125"/>
        <v>214042.88175463624</v>
      </c>
      <c r="F162" s="12">
        <f t="shared" ca="1" si="126"/>
        <v>232675.05394440296</v>
      </c>
      <c r="G162" s="12">
        <f t="shared" ca="1" si="127"/>
        <v>280666.3707166221</v>
      </c>
      <c r="H162" s="12">
        <f t="shared" ca="1" si="128"/>
        <v>318791.9987234365</v>
      </c>
      <c r="I162" s="12">
        <f t="shared" ca="1" si="129"/>
        <v>326216.61972965271</v>
      </c>
      <c r="J162" s="12">
        <f t="shared" ca="1" si="130"/>
        <v>329485.73857059603</v>
      </c>
      <c r="K162" s="12">
        <f t="shared" ca="1" si="131"/>
        <v>385754.40466255456</v>
      </c>
      <c r="L162" s="12">
        <f t="shared" ca="1" si="132"/>
        <v>415591.07374255249</v>
      </c>
      <c r="M162" s="12">
        <f t="shared" ca="1" si="133"/>
        <v>565551.4722205993</v>
      </c>
      <c r="N162" s="12">
        <f t="shared" ca="1" si="134"/>
        <v>650661.77955733426</v>
      </c>
      <c r="O162" s="12">
        <f t="shared" ca="1" si="135"/>
        <v>843389.22158179898</v>
      </c>
      <c r="P162" s="12">
        <f t="shared" ca="1" si="136"/>
        <v>714084.9028551766</v>
      </c>
      <c r="Q162" s="12">
        <f t="shared" ca="1" si="137"/>
        <v>703485.22028853395</v>
      </c>
      <c r="R162" s="12">
        <f t="shared" ca="1" si="138"/>
        <v>837102.22873821761</v>
      </c>
      <c r="S162" s="12">
        <f t="shared" ca="1" si="139"/>
        <v>816342.5626116246</v>
      </c>
      <c r="T162" s="12">
        <f t="shared" ca="1" si="140"/>
        <v>811563.70507888857</v>
      </c>
      <c r="U162" s="12">
        <f t="shared" ca="1" si="141"/>
        <v>811918.00800562697</v>
      </c>
      <c r="V162" s="12">
        <f t="shared" ca="1" si="142"/>
        <v>973515.79861312511</v>
      </c>
      <c r="W162" s="12">
        <f t="shared" ca="1" si="143"/>
        <v>1112859.498494047</v>
      </c>
      <c r="X162" s="12">
        <f t="shared" ca="1" si="144"/>
        <v>1223044.8512748182</v>
      </c>
      <c r="Y162" s="12">
        <f t="shared" ca="1" si="145"/>
        <v>1079693.7562143775</v>
      </c>
      <c r="Z162" s="12">
        <f t="shared" ca="1" si="146"/>
        <v>918477.80171477643</v>
      </c>
      <c r="AA162" s="12">
        <f t="shared" ca="1" si="147"/>
        <v>960251.82608993526</v>
      </c>
      <c r="AB162" s="12">
        <f t="shared" ca="1" si="148"/>
        <v>1305559.4295415212</v>
      </c>
      <c r="AC162" s="12">
        <f t="shared" ca="1" si="149"/>
        <v>1308461.3177813569</v>
      </c>
      <c r="AD162" s="12">
        <f t="shared" ca="1" si="150"/>
        <v>1472506.2829892321</v>
      </c>
      <c r="AE162" s="12">
        <f t="shared" ca="1" si="151"/>
        <v>1604371.6159493702</v>
      </c>
      <c r="AF162" s="12">
        <f t="shared" ca="1" si="152"/>
        <v>1616810.7057470996</v>
      </c>
      <c r="AG162" s="12">
        <f t="shared" ca="1" si="153"/>
        <v>1695387.6408833577</v>
      </c>
      <c r="AH162" s="12">
        <f t="shared" ca="1" si="154"/>
        <v>1695387.6408833577</v>
      </c>
    </row>
    <row r="163" spans="2:34" x14ac:dyDescent="0.25">
      <c r="B163" s="6">
        <v>147</v>
      </c>
      <c r="D163" s="12">
        <f t="shared" ca="1" si="124"/>
        <v>174726.86563505759</v>
      </c>
      <c r="E163" s="12">
        <f t="shared" ca="1" si="125"/>
        <v>221396.86570065899</v>
      </c>
      <c r="F163" s="12">
        <f t="shared" ca="1" si="126"/>
        <v>272873.72408183734</v>
      </c>
      <c r="G163" s="12">
        <f t="shared" ca="1" si="127"/>
        <v>327588.16411933576</v>
      </c>
      <c r="H163" s="12">
        <f t="shared" ca="1" si="128"/>
        <v>332678.21280971059</v>
      </c>
      <c r="I163" s="12">
        <f t="shared" ca="1" si="129"/>
        <v>352762.95089665591</v>
      </c>
      <c r="J163" s="12">
        <f t="shared" ca="1" si="130"/>
        <v>419566.08886878117</v>
      </c>
      <c r="K163" s="12">
        <f t="shared" ca="1" si="131"/>
        <v>513175.636916827</v>
      </c>
      <c r="L163" s="12">
        <f t="shared" ca="1" si="132"/>
        <v>513515.41708776215</v>
      </c>
      <c r="M163" s="12">
        <f t="shared" ca="1" si="133"/>
        <v>523606.64789840806</v>
      </c>
      <c r="N163" s="12">
        <f t="shared" ca="1" si="134"/>
        <v>504090.78218767786</v>
      </c>
      <c r="O163" s="12">
        <f t="shared" ca="1" si="135"/>
        <v>577077.87471353961</v>
      </c>
      <c r="P163" s="12">
        <f t="shared" ca="1" si="136"/>
        <v>605731.81762199337</v>
      </c>
      <c r="Q163" s="12">
        <f t="shared" ca="1" si="137"/>
        <v>762846.8289362184</v>
      </c>
      <c r="R163" s="12">
        <f t="shared" ca="1" si="138"/>
        <v>742355.03843893798</v>
      </c>
      <c r="S163" s="12">
        <f t="shared" ca="1" si="139"/>
        <v>871320.78054042603</v>
      </c>
      <c r="T163" s="12">
        <f t="shared" ca="1" si="140"/>
        <v>709376.57895657001</v>
      </c>
      <c r="U163" s="12">
        <f t="shared" ca="1" si="141"/>
        <v>848611.76488806587</v>
      </c>
      <c r="V163" s="12">
        <f t="shared" ca="1" si="142"/>
        <v>1079582.3900945517</v>
      </c>
      <c r="W163" s="12">
        <f t="shared" ca="1" si="143"/>
        <v>1238672.5039201586</v>
      </c>
      <c r="X163" s="12">
        <f t="shared" ca="1" si="144"/>
        <v>1406194.3463897901</v>
      </c>
      <c r="Y163" s="12">
        <f t="shared" ca="1" si="145"/>
        <v>1390329.8307468102</v>
      </c>
      <c r="Z163" s="12">
        <f t="shared" ca="1" si="146"/>
        <v>1581209.6993946107</v>
      </c>
      <c r="AA163" s="12">
        <f t="shared" ca="1" si="147"/>
        <v>1436592.3509457607</v>
      </c>
      <c r="AB163" s="12">
        <f t="shared" ca="1" si="148"/>
        <v>1424958.9590069968</v>
      </c>
      <c r="AC163" s="12">
        <f t="shared" ca="1" si="149"/>
        <v>1805067.4663625774</v>
      </c>
      <c r="AD163" s="12">
        <f t="shared" ca="1" si="150"/>
        <v>2315861.5506328549</v>
      </c>
      <c r="AE163" s="12">
        <f t="shared" ca="1" si="151"/>
        <v>3162029.5761055248</v>
      </c>
      <c r="AF163" s="12">
        <f t="shared" ca="1" si="152"/>
        <v>3141962.0261551593</v>
      </c>
      <c r="AG163" s="12">
        <f t="shared" ca="1" si="153"/>
        <v>3304766.5051516877</v>
      </c>
      <c r="AH163" s="12">
        <f t="shared" ca="1" si="154"/>
        <v>3304766.5051516877</v>
      </c>
    </row>
    <row r="164" spans="2:34" x14ac:dyDescent="0.25">
      <c r="B164" s="6">
        <v>148</v>
      </c>
      <c r="D164" s="12">
        <f t="shared" ca="1" si="124"/>
        <v>197406.68546536795</v>
      </c>
      <c r="E164" s="12">
        <f t="shared" ca="1" si="125"/>
        <v>298643.06103004637</v>
      </c>
      <c r="F164" s="12">
        <f t="shared" ca="1" si="126"/>
        <v>344257.94550033472</v>
      </c>
      <c r="G164" s="12">
        <f t="shared" ca="1" si="127"/>
        <v>419825.45581015776</v>
      </c>
      <c r="H164" s="12">
        <f t="shared" ca="1" si="128"/>
        <v>428799.95863788819</v>
      </c>
      <c r="I164" s="12">
        <f t="shared" ca="1" si="129"/>
        <v>417333.5832971037</v>
      </c>
      <c r="J164" s="12">
        <f t="shared" ca="1" si="130"/>
        <v>438472.09711643384</v>
      </c>
      <c r="K164" s="12">
        <f t="shared" ca="1" si="131"/>
        <v>424217.18747843197</v>
      </c>
      <c r="L164" s="12">
        <f t="shared" ca="1" si="132"/>
        <v>511438.30771447282</v>
      </c>
      <c r="M164" s="12">
        <f t="shared" ca="1" si="133"/>
        <v>523071.47325832775</v>
      </c>
      <c r="N164" s="12">
        <f t="shared" ca="1" si="134"/>
        <v>514080.27825367608</v>
      </c>
      <c r="O164" s="12">
        <f t="shared" ca="1" si="135"/>
        <v>614599.50267214444</v>
      </c>
      <c r="P164" s="12">
        <f t="shared" ca="1" si="136"/>
        <v>633851.9704713684</v>
      </c>
      <c r="Q164" s="12">
        <f t="shared" ca="1" si="137"/>
        <v>692650.83681004657</v>
      </c>
      <c r="R164" s="12">
        <f t="shared" ca="1" si="138"/>
        <v>759065.27109323454</v>
      </c>
      <c r="S164" s="12">
        <f t="shared" ca="1" si="139"/>
        <v>846443.42124557158</v>
      </c>
      <c r="T164" s="12">
        <f t="shared" ca="1" si="140"/>
        <v>765558.0902458292</v>
      </c>
      <c r="U164" s="12">
        <f t="shared" ca="1" si="141"/>
        <v>792324.00829280727</v>
      </c>
      <c r="V164" s="12">
        <f t="shared" ca="1" si="142"/>
        <v>902588.97902098682</v>
      </c>
      <c r="W164" s="12">
        <f t="shared" ca="1" si="143"/>
        <v>1005728.0871984168</v>
      </c>
      <c r="X164" s="12">
        <f t="shared" ca="1" si="144"/>
        <v>1057205.5885336511</v>
      </c>
      <c r="Y164" s="12">
        <f t="shared" ca="1" si="145"/>
        <v>1031172.5590304595</v>
      </c>
      <c r="Z164" s="12">
        <f t="shared" ca="1" si="146"/>
        <v>1288446.3053101655</v>
      </c>
      <c r="AA164" s="12">
        <f t="shared" ca="1" si="147"/>
        <v>1351274.456147176</v>
      </c>
      <c r="AB164" s="12">
        <f t="shared" ca="1" si="148"/>
        <v>1637757.7009099885</v>
      </c>
      <c r="AC164" s="12">
        <f t="shared" ca="1" si="149"/>
        <v>1935120.8837610972</v>
      </c>
      <c r="AD164" s="12">
        <f t="shared" ca="1" si="150"/>
        <v>2329411.8718405119</v>
      </c>
      <c r="AE164" s="12">
        <f t="shared" ca="1" si="151"/>
        <v>2483683.8903216897</v>
      </c>
      <c r="AF164" s="12">
        <f t="shared" ca="1" si="152"/>
        <v>2629314.6941079679</v>
      </c>
      <c r="AG164" s="12">
        <f t="shared" ca="1" si="153"/>
        <v>3035738.3975126981</v>
      </c>
      <c r="AH164" s="12">
        <f t="shared" ca="1" si="154"/>
        <v>3035738.3975126981</v>
      </c>
    </row>
    <row r="165" spans="2:34" x14ac:dyDescent="0.25">
      <c r="B165" s="6">
        <v>149</v>
      </c>
      <c r="D165" s="12">
        <f t="shared" ca="1" si="124"/>
        <v>153347.55002985022</v>
      </c>
      <c r="E165" s="12">
        <f t="shared" ca="1" si="125"/>
        <v>161748.48450626025</v>
      </c>
      <c r="F165" s="12">
        <f t="shared" ca="1" si="126"/>
        <v>188836.37369334348</v>
      </c>
      <c r="G165" s="12">
        <f t="shared" ca="1" si="127"/>
        <v>234634.71967875797</v>
      </c>
      <c r="H165" s="12">
        <f t="shared" ca="1" si="128"/>
        <v>320403.38316349831</v>
      </c>
      <c r="I165" s="12">
        <f t="shared" ca="1" si="129"/>
        <v>330038.20621212467</v>
      </c>
      <c r="J165" s="12">
        <f t="shared" ca="1" si="130"/>
        <v>379494.37041503016</v>
      </c>
      <c r="K165" s="12">
        <f t="shared" ca="1" si="131"/>
        <v>394015.59987352166</v>
      </c>
      <c r="L165" s="12">
        <f t="shared" ca="1" si="132"/>
        <v>463995.3548878099</v>
      </c>
      <c r="M165" s="12">
        <f t="shared" ca="1" si="133"/>
        <v>519239.20380732825</v>
      </c>
      <c r="N165" s="12">
        <f t="shared" ca="1" si="134"/>
        <v>652950.47399464587</v>
      </c>
      <c r="O165" s="12">
        <f t="shared" ca="1" si="135"/>
        <v>749377.22132369317</v>
      </c>
      <c r="P165" s="12">
        <f t="shared" ca="1" si="136"/>
        <v>766244.62794313836</v>
      </c>
      <c r="Q165" s="12">
        <f t="shared" ca="1" si="137"/>
        <v>775711.61450675235</v>
      </c>
      <c r="R165" s="12">
        <f t="shared" ca="1" si="138"/>
        <v>923484.02578311996</v>
      </c>
      <c r="S165" s="12">
        <f t="shared" ca="1" si="139"/>
        <v>949022.41277758905</v>
      </c>
      <c r="T165" s="12">
        <f t="shared" ca="1" si="140"/>
        <v>1120809.0537817203</v>
      </c>
      <c r="U165" s="12">
        <f t="shared" ca="1" si="141"/>
        <v>1237023.1813553397</v>
      </c>
      <c r="V165" s="12">
        <f t="shared" ca="1" si="142"/>
        <v>1208563.9400650922</v>
      </c>
      <c r="W165" s="12">
        <f t="shared" ca="1" si="143"/>
        <v>1255621.5640811671</v>
      </c>
      <c r="X165" s="12">
        <f t="shared" ca="1" si="144"/>
        <v>1347861.6476145282</v>
      </c>
      <c r="Y165" s="12">
        <f t="shared" ca="1" si="145"/>
        <v>1409829.8998346953</v>
      </c>
      <c r="Z165" s="12">
        <f t="shared" ca="1" si="146"/>
        <v>1639715.8150410079</v>
      </c>
      <c r="AA165" s="12">
        <f t="shared" ca="1" si="147"/>
        <v>1798836.9339194142</v>
      </c>
      <c r="AB165" s="12">
        <f t="shared" ca="1" si="148"/>
        <v>1933752.1002460737</v>
      </c>
      <c r="AC165" s="12">
        <f t="shared" ca="1" si="149"/>
        <v>1666424.3252184263</v>
      </c>
      <c r="AD165" s="12">
        <f t="shared" ca="1" si="150"/>
        <v>1764221.6057723819</v>
      </c>
      <c r="AE165" s="12">
        <f t="shared" ca="1" si="151"/>
        <v>1640948.6461468581</v>
      </c>
      <c r="AF165" s="12">
        <f t="shared" ca="1" si="152"/>
        <v>1931803.5837829721</v>
      </c>
      <c r="AG165" s="12">
        <f t="shared" ca="1" si="153"/>
        <v>2149771.2727504587</v>
      </c>
      <c r="AH165" s="12">
        <f t="shared" ca="1" si="154"/>
        <v>2149771.2727504587</v>
      </c>
    </row>
    <row r="166" spans="2:34" x14ac:dyDescent="0.25">
      <c r="B166" s="6">
        <v>150</v>
      </c>
      <c r="D166" s="12">
        <f t="shared" ca="1" si="124"/>
        <v>165421.32233761271</v>
      </c>
      <c r="E166" s="12">
        <f t="shared" ca="1" si="125"/>
        <v>189178.30669900245</v>
      </c>
      <c r="F166" s="12">
        <f t="shared" ca="1" si="126"/>
        <v>209676.68629105049</v>
      </c>
      <c r="G166" s="12">
        <f t="shared" ca="1" si="127"/>
        <v>272899.95676941588</v>
      </c>
      <c r="H166" s="12">
        <f t="shared" ca="1" si="128"/>
        <v>282512.24995338282</v>
      </c>
      <c r="I166" s="12">
        <f t="shared" ca="1" si="129"/>
        <v>337075.71223266108</v>
      </c>
      <c r="J166" s="12">
        <f t="shared" ca="1" si="130"/>
        <v>351369.54686857521</v>
      </c>
      <c r="K166" s="12">
        <f t="shared" ca="1" si="131"/>
        <v>371290.55074532906</v>
      </c>
      <c r="L166" s="12">
        <f t="shared" ca="1" si="132"/>
        <v>361692.18394475337</v>
      </c>
      <c r="M166" s="12">
        <f t="shared" ca="1" si="133"/>
        <v>392923.35828005197</v>
      </c>
      <c r="N166" s="12">
        <f t="shared" ca="1" si="134"/>
        <v>503160.62101438682</v>
      </c>
      <c r="O166" s="12">
        <f t="shared" ca="1" si="135"/>
        <v>450147.66418117052</v>
      </c>
      <c r="P166" s="12">
        <f t="shared" ca="1" si="136"/>
        <v>527978.60880612954</v>
      </c>
      <c r="Q166" s="12">
        <f t="shared" ca="1" si="137"/>
        <v>604204.05915537791</v>
      </c>
      <c r="R166" s="12">
        <f t="shared" ca="1" si="138"/>
        <v>732023.36704158399</v>
      </c>
      <c r="S166" s="12">
        <f t="shared" ca="1" si="139"/>
        <v>775885.83256919903</v>
      </c>
      <c r="T166" s="12">
        <f t="shared" ca="1" si="140"/>
        <v>952866.41675777873</v>
      </c>
      <c r="U166" s="12">
        <f t="shared" ca="1" si="141"/>
        <v>967944.09578035958</v>
      </c>
      <c r="V166" s="12">
        <f t="shared" ca="1" si="142"/>
        <v>1117178.6547811518</v>
      </c>
      <c r="W166" s="12">
        <f t="shared" ca="1" si="143"/>
        <v>1250729.4384617931</v>
      </c>
      <c r="X166" s="12">
        <f t="shared" ca="1" si="144"/>
        <v>1200550.7510764003</v>
      </c>
      <c r="Y166" s="12">
        <f t="shared" ca="1" si="145"/>
        <v>1277590.6439737049</v>
      </c>
      <c r="Z166" s="12">
        <f t="shared" ca="1" si="146"/>
        <v>1421211.9210272073</v>
      </c>
      <c r="AA166" s="12">
        <f t="shared" ca="1" si="147"/>
        <v>1396959.2559758588</v>
      </c>
      <c r="AB166" s="12">
        <f t="shared" ca="1" si="148"/>
        <v>1563016.0718116227</v>
      </c>
      <c r="AC166" s="12">
        <f t="shared" ca="1" si="149"/>
        <v>1729194.9484713436</v>
      </c>
      <c r="AD166" s="12">
        <f t="shared" ca="1" si="150"/>
        <v>2146851.8961438965</v>
      </c>
      <c r="AE166" s="12">
        <f t="shared" ca="1" si="151"/>
        <v>2393121.3737529912</v>
      </c>
      <c r="AF166" s="12">
        <f t="shared" ca="1" si="152"/>
        <v>2837779.3252708395</v>
      </c>
      <c r="AG166" s="12">
        <f t="shared" ca="1" si="153"/>
        <v>2938565.5894004228</v>
      </c>
      <c r="AH166" s="12">
        <f t="shared" ca="1" si="154"/>
        <v>2938565.5894004228</v>
      </c>
    </row>
    <row r="167" spans="2:34" x14ac:dyDescent="0.25">
      <c r="B167" s="6">
        <v>151</v>
      </c>
      <c r="D167" s="12">
        <f t="shared" ca="1" si="124"/>
        <v>190917.66681199192</v>
      </c>
      <c r="E167" s="12">
        <f t="shared" ca="1" si="125"/>
        <v>237303.02739671513</v>
      </c>
      <c r="F167" s="12">
        <f t="shared" ca="1" si="126"/>
        <v>303628.47062251321</v>
      </c>
      <c r="G167" s="12">
        <f t="shared" ca="1" si="127"/>
        <v>296400.32045096409</v>
      </c>
      <c r="H167" s="12">
        <f t="shared" ca="1" si="128"/>
        <v>370226.20079687366</v>
      </c>
      <c r="I167" s="12">
        <f t="shared" ca="1" si="129"/>
        <v>441535.77257419669</v>
      </c>
      <c r="J167" s="12">
        <f t="shared" ca="1" si="130"/>
        <v>466679.65210997651</v>
      </c>
      <c r="K167" s="12">
        <f t="shared" ca="1" si="131"/>
        <v>530164.93624644447</v>
      </c>
      <c r="L167" s="12">
        <f t="shared" ca="1" si="132"/>
        <v>571048.75340216293</v>
      </c>
      <c r="M167" s="12">
        <f t="shared" ca="1" si="133"/>
        <v>615123.76861367375</v>
      </c>
      <c r="N167" s="12">
        <f t="shared" ca="1" si="134"/>
        <v>684644.45847990795</v>
      </c>
      <c r="O167" s="12">
        <f t="shared" ca="1" si="135"/>
        <v>868025.75487032125</v>
      </c>
      <c r="P167" s="12">
        <f t="shared" ca="1" si="136"/>
        <v>939530.28944713296</v>
      </c>
      <c r="Q167" s="12">
        <f t="shared" ca="1" si="137"/>
        <v>970216.95560745208</v>
      </c>
      <c r="R167" s="12">
        <f t="shared" ca="1" si="138"/>
        <v>1076636.396002939</v>
      </c>
      <c r="S167" s="12">
        <f t="shared" ca="1" si="139"/>
        <v>1180690.3351933574</v>
      </c>
      <c r="T167" s="12">
        <f t="shared" ca="1" si="140"/>
        <v>1303637.4586838402</v>
      </c>
      <c r="U167" s="12">
        <f t="shared" ca="1" si="141"/>
        <v>1617192.5975757847</v>
      </c>
      <c r="V167" s="12">
        <f t="shared" ca="1" si="142"/>
        <v>1761075.0012405694</v>
      </c>
      <c r="W167" s="12">
        <f t="shared" ca="1" si="143"/>
        <v>1964201.8724430224</v>
      </c>
      <c r="X167" s="12">
        <f t="shared" ca="1" si="144"/>
        <v>1866622.8683306584</v>
      </c>
      <c r="Y167" s="12">
        <f t="shared" ca="1" si="145"/>
        <v>2072748.6253841596</v>
      </c>
      <c r="Z167" s="12">
        <f t="shared" ca="1" si="146"/>
        <v>2237228.3253869624</v>
      </c>
      <c r="AA167" s="12">
        <f t="shared" ca="1" si="147"/>
        <v>2329539.4823075556</v>
      </c>
      <c r="AB167" s="12">
        <f t="shared" ca="1" si="148"/>
        <v>2242998.6644091485</v>
      </c>
      <c r="AC167" s="12">
        <f t="shared" ca="1" si="149"/>
        <v>2035990.2287206105</v>
      </c>
      <c r="AD167" s="12">
        <f t="shared" ca="1" si="150"/>
        <v>1926317.6808808187</v>
      </c>
      <c r="AE167" s="12">
        <f t="shared" ca="1" si="151"/>
        <v>1785014.5681431349</v>
      </c>
      <c r="AF167" s="12">
        <f t="shared" ca="1" si="152"/>
        <v>2332143.3923284649</v>
      </c>
      <c r="AG167" s="12">
        <f t="shared" ca="1" si="153"/>
        <v>2442112.4534492916</v>
      </c>
      <c r="AH167" s="12">
        <f t="shared" ca="1" si="154"/>
        <v>2442112.4534492916</v>
      </c>
    </row>
    <row r="168" spans="2:34" x14ac:dyDescent="0.25">
      <c r="B168" s="6">
        <v>152</v>
      </c>
      <c r="D168" s="12">
        <f t="shared" ca="1" si="124"/>
        <v>172609.87456543697</v>
      </c>
      <c r="E168" s="12">
        <f t="shared" ca="1" si="125"/>
        <v>199656.5243044293</v>
      </c>
      <c r="F168" s="12">
        <f t="shared" ca="1" si="126"/>
        <v>239814.30293666339</v>
      </c>
      <c r="G168" s="12">
        <f t="shared" ca="1" si="127"/>
        <v>284703.73258061981</v>
      </c>
      <c r="H168" s="12">
        <f t="shared" ca="1" si="128"/>
        <v>307467.6143728022</v>
      </c>
      <c r="I168" s="12">
        <f t="shared" ca="1" si="129"/>
        <v>310186.11516380782</v>
      </c>
      <c r="J168" s="12">
        <f t="shared" ca="1" si="130"/>
        <v>330020.02388784575</v>
      </c>
      <c r="K168" s="12">
        <f t="shared" ca="1" si="131"/>
        <v>349867.90004201909</v>
      </c>
      <c r="L168" s="12">
        <f t="shared" ca="1" si="132"/>
        <v>372758.52531952265</v>
      </c>
      <c r="M168" s="12">
        <f t="shared" ca="1" si="133"/>
        <v>509933.50616193766</v>
      </c>
      <c r="N168" s="12">
        <f t="shared" ca="1" si="134"/>
        <v>538987.1550824414</v>
      </c>
      <c r="O168" s="12">
        <f t="shared" ca="1" si="135"/>
        <v>640294.41212699597</v>
      </c>
      <c r="P168" s="12">
        <f t="shared" ca="1" si="136"/>
        <v>734636.28396412916</v>
      </c>
      <c r="Q168" s="12">
        <f t="shared" ca="1" si="137"/>
        <v>962433.81783319323</v>
      </c>
      <c r="R168" s="12">
        <f t="shared" ca="1" si="138"/>
        <v>1183956.3688011291</v>
      </c>
      <c r="S168" s="12">
        <f t="shared" ca="1" si="139"/>
        <v>1330733.9554485998</v>
      </c>
      <c r="T168" s="12">
        <f t="shared" ca="1" si="140"/>
        <v>1331295.2990592874</v>
      </c>
      <c r="U168" s="12">
        <f t="shared" ca="1" si="141"/>
        <v>1404091.2870803436</v>
      </c>
      <c r="V168" s="12">
        <f t="shared" ca="1" si="142"/>
        <v>1616240.091943776</v>
      </c>
      <c r="W168" s="12">
        <f t="shared" ca="1" si="143"/>
        <v>2017280.9248585429</v>
      </c>
      <c r="X168" s="12">
        <f t="shared" ca="1" si="144"/>
        <v>1695205.0311088588</v>
      </c>
      <c r="Y168" s="12">
        <f t="shared" ca="1" si="145"/>
        <v>1780913.6654747631</v>
      </c>
      <c r="Z168" s="12">
        <f t="shared" ca="1" si="146"/>
        <v>2032683.1027758988</v>
      </c>
      <c r="AA168" s="12">
        <f t="shared" ca="1" si="147"/>
        <v>2028814.3175667617</v>
      </c>
      <c r="AB168" s="12">
        <f t="shared" ca="1" si="148"/>
        <v>2016619.2825108848</v>
      </c>
      <c r="AC168" s="12">
        <f t="shared" ca="1" si="149"/>
        <v>2264136.3925680965</v>
      </c>
      <c r="AD168" s="12">
        <f t="shared" ca="1" si="150"/>
        <v>2531131.0439635804</v>
      </c>
      <c r="AE168" s="12">
        <f t="shared" ca="1" si="151"/>
        <v>2826286.7080427161</v>
      </c>
      <c r="AF168" s="12">
        <f t="shared" ca="1" si="152"/>
        <v>2751157.3539336468</v>
      </c>
      <c r="AG168" s="12">
        <f t="shared" ca="1" si="153"/>
        <v>2887887.3199880603</v>
      </c>
      <c r="AH168" s="12">
        <f t="shared" ca="1" si="154"/>
        <v>2887887.3199880603</v>
      </c>
    </row>
    <row r="169" spans="2:34" x14ac:dyDescent="0.25">
      <c r="B169" s="6">
        <v>153</v>
      </c>
      <c r="D169" s="12">
        <f t="shared" ca="1" si="124"/>
        <v>183894.51526143207</v>
      </c>
      <c r="E169" s="12">
        <f t="shared" ca="1" si="125"/>
        <v>231400.76059141074</v>
      </c>
      <c r="F169" s="12">
        <f t="shared" ca="1" si="126"/>
        <v>259292.03110857186</v>
      </c>
      <c r="G169" s="12">
        <f t="shared" ca="1" si="127"/>
        <v>303918.56331771991</v>
      </c>
      <c r="H169" s="12">
        <f t="shared" ca="1" si="128"/>
        <v>313622.19972182071</v>
      </c>
      <c r="I169" s="12">
        <f t="shared" ca="1" si="129"/>
        <v>359162.98027993803</v>
      </c>
      <c r="J169" s="12">
        <f t="shared" ca="1" si="130"/>
        <v>455155.20657325332</v>
      </c>
      <c r="K169" s="12">
        <f t="shared" ca="1" si="131"/>
        <v>507333.26642019983</v>
      </c>
      <c r="L169" s="12">
        <f t="shared" ca="1" si="132"/>
        <v>433371.52889686922</v>
      </c>
      <c r="M169" s="12">
        <f t="shared" ca="1" si="133"/>
        <v>465968.80495078722</v>
      </c>
      <c r="N169" s="12">
        <f t="shared" ca="1" si="134"/>
        <v>544658.87120812573</v>
      </c>
      <c r="O169" s="12">
        <f t="shared" ca="1" si="135"/>
        <v>551978.54503956181</v>
      </c>
      <c r="P169" s="12">
        <f t="shared" ca="1" si="136"/>
        <v>575341.71163352078</v>
      </c>
      <c r="Q169" s="12">
        <f t="shared" ca="1" si="137"/>
        <v>563723.04941461748</v>
      </c>
      <c r="R169" s="12">
        <f t="shared" ca="1" si="138"/>
        <v>497298.55402589077</v>
      </c>
      <c r="S169" s="12">
        <f t="shared" ca="1" si="139"/>
        <v>448282.06766138854</v>
      </c>
      <c r="T169" s="12">
        <f t="shared" ca="1" si="140"/>
        <v>390185.20904374419</v>
      </c>
      <c r="U169" s="12">
        <f t="shared" ca="1" si="141"/>
        <v>515376.09636622539</v>
      </c>
      <c r="V169" s="12">
        <f t="shared" ca="1" si="142"/>
        <v>662220.10955772386</v>
      </c>
      <c r="W169" s="12">
        <f t="shared" ca="1" si="143"/>
        <v>773052.52202590299</v>
      </c>
      <c r="X169" s="12">
        <f t="shared" ca="1" si="144"/>
        <v>731656.43640528747</v>
      </c>
      <c r="Y169" s="12">
        <f t="shared" ca="1" si="145"/>
        <v>772889.35697898595</v>
      </c>
      <c r="Z169" s="12">
        <f t="shared" ca="1" si="146"/>
        <v>770954.13268389285</v>
      </c>
      <c r="AA169" s="12">
        <f t="shared" ca="1" si="147"/>
        <v>730930.23705266567</v>
      </c>
      <c r="AB169" s="12">
        <f t="shared" ca="1" si="148"/>
        <v>859565.56684863381</v>
      </c>
      <c r="AC169" s="12">
        <f t="shared" ca="1" si="149"/>
        <v>968517.11310596438</v>
      </c>
      <c r="AD169" s="12">
        <f t="shared" ca="1" si="150"/>
        <v>1120885.0885112404</v>
      </c>
      <c r="AE169" s="12">
        <f t="shared" ca="1" si="151"/>
        <v>858846.06794040359</v>
      </c>
      <c r="AF169" s="12">
        <f t="shared" ca="1" si="152"/>
        <v>987371.66487738863</v>
      </c>
      <c r="AG169" s="12">
        <f t="shared" ca="1" si="153"/>
        <v>967081.1001021408</v>
      </c>
      <c r="AH169" s="12">
        <f t="shared" ca="1" si="154"/>
        <v>967081.1001021408</v>
      </c>
    </row>
    <row r="170" spans="2:34" x14ac:dyDescent="0.25">
      <c r="B170" s="6">
        <v>154</v>
      </c>
      <c r="D170" s="12">
        <f t="shared" ca="1" si="124"/>
        <v>208719.12752347731</v>
      </c>
      <c r="E170" s="12">
        <f t="shared" ca="1" si="125"/>
        <v>243019.01945980301</v>
      </c>
      <c r="F170" s="12">
        <f t="shared" ca="1" si="126"/>
        <v>229998.71538590398</v>
      </c>
      <c r="G170" s="12">
        <f t="shared" ca="1" si="127"/>
        <v>253482.35382678066</v>
      </c>
      <c r="H170" s="12">
        <f t="shared" ca="1" si="128"/>
        <v>313338.25610712421</v>
      </c>
      <c r="I170" s="12">
        <f t="shared" ca="1" si="129"/>
        <v>431056.45614196116</v>
      </c>
      <c r="J170" s="12">
        <f t="shared" ca="1" si="130"/>
        <v>513845.9340623311</v>
      </c>
      <c r="K170" s="12">
        <f t="shared" ca="1" si="131"/>
        <v>592774.37044779863</v>
      </c>
      <c r="L170" s="12">
        <f t="shared" ca="1" si="132"/>
        <v>568330.82598071708</v>
      </c>
      <c r="M170" s="12">
        <f t="shared" ca="1" si="133"/>
        <v>621570.63976192102</v>
      </c>
      <c r="N170" s="12">
        <f t="shared" ca="1" si="134"/>
        <v>667938.06095445203</v>
      </c>
      <c r="O170" s="12">
        <f t="shared" ca="1" si="135"/>
        <v>810811.12936176348</v>
      </c>
      <c r="P170" s="12">
        <f t="shared" ca="1" si="136"/>
        <v>874043.53401573189</v>
      </c>
      <c r="Q170" s="12">
        <f t="shared" ca="1" si="137"/>
        <v>1261681.5146970889</v>
      </c>
      <c r="R170" s="12">
        <f t="shared" ca="1" si="138"/>
        <v>1268810.9894494473</v>
      </c>
      <c r="S170" s="12">
        <f t="shared" ca="1" si="139"/>
        <v>1393266.3534197905</v>
      </c>
      <c r="T170" s="12">
        <f t="shared" ca="1" si="140"/>
        <v>1386310.3294636637</v>
      </c>
      <c r="U170" s="12">
        <f t="shared" ca="1" si="141"/>
        <v>1967030.2712606918</v>
      </c>
      <c r="V170" s="12">
        <f t="shared" ca="1" si="142"/>
        <v>2074376.3123173607</v>
      </c>
      <c r="W170" s="12">
        <f t="shared" ca="1" si="143"/>
        <v>2212623.4956091261</v>
      </c>
      <c r="X170" s="12">
        <f t="shared" ca="1" si="144"/>
        <v>2144394.2678178702</v>
      </c>
      <c r="Y170" s="12">
        <f t="shared" ca="1" si="145"/>
        <v>2233563.3270774097</v>
      </c>
      <c r="Z170" s="12">
        <f t="shared" ca="1" si="146"/>
        <v>2112110.415970868</v>
      </c>
      <c r="AA170" s="12">
        <f t="shared" ca="1" si="147"/>
        <v>2452948.3341530976</v>
      </c>
      <c r="AB170" s="12">
        <f t="shared" ca="1" si="148"/>
        <v>2573105.9223419311</v>
      </c>
      <c r="AC170" s="12">
        <f t="shared" ca="1" si="149"/>
        <v>2976727.5101578413</v>
      </c>
      <c r="AD170" s="12">
        <f t="shared" ca="1" si="150"/>
        <v>3416066.1859219363</v>
      </c>
      <c r="AE170" s="12">
        <f t="shared" ca="1" si="151"/>
        <v>3948045.3536010021</v>
      </c>
      <c r="AF170" s="12">
        <f t="shared" ca="1" si="152"/>
        <v>3895111.0314043835</v>
      </c>
      <c r="AG170" s="12">
        <f t="shared" ca="1" si="153"/>
        <v>4115751.0309494743</v>
      </c>
      <c r="AH170" s="12">
        <f t="shared" ca="1" si="154"/>
        <v>4115751.0309494743</v>
      </c>
    </row>
    <row r="171" spans="2:34" x14ac:dyDescent="0.25">
      <c r="B171" s="6">
        <v>155</v>
      </c>
      <c r="D171" s="12">
        <f t="shared" ca="1" si="124"/>
        <v>198180.43151972562</v>
      </c>
      <c r="E171" s="12">
        <f t="shared" ca="1" si="125"/>
        <v>201782.7818011007</v>
      </c>
      <c r="F171" s="12">
        <f t="shared" ca="1" si="126"/>
        <v>262303.35217597964</v>
      </c>
      <c r="G171" s="12">
        <f t="shared" ca="1" si="127"/>
        <v>233841.45070835933</v>
      </c>
      <c r="H171" s="12">
        <f t="shared" ca="1" si="128"/>
        <v>254735.91435322291</v>
      </c>
      <c r="I171" s="12">
        <f t="shared" ca="1" si="129"/>
        <v>269858.49920646253</v>
      </c>
      <c r="J171" s="12">
        <f t="shared" ca="1" si="130"/>
        <v>276437.69658885413</v>
      </c>
      <c r="K171" s="12">
        <f t="shared" ca="1" si="131"/>
        <v>289571.81275093224</v>
      </c>
      <c r="L171" s="12">
        <f t="shared" ca="1" si="132"/>
        <v>356000.5832827246</v>
      </c>
      <c r="M171" s="12">
        <f t="shared" ca="1" si="133"/>
        <v>486450.11370252684</v>
      </c>
      <c r="N171" s="12">
        <f t="shared" ca="1" si="134"/>
        <v>585608.85547098774</v>
      </c>
      <c r="O171" s="12">
        <f t="shared" ca="1" si="135"/>
        <v>663432.98870929563</v>
      </c>
      <c r="P171" s="12">
        <f t="shared" ca="1" si="136"/>
        <v>691589.48425176088</v>
      </c>
      <c r="Q171" s="12">
        <f t="shared" ca="1" si="137"/>
        <v>752981.13771297527</v>
      </c>
      <c r="R171" s="12">
        <f t="shared" ca="1" si="138"/>
        <v>780730.88342307776</v>
      </c>
      <c r="S171" s="12">
        <f t="shared" ca="1" si="139"/>
        <v>883848.81942114851</v>
      </c>
      <c r="T171" s="12">
        <f t="shared" ca="1" si="140"/>
        <v>786290.61706836836</v>
      </c>
      <c r="U171" s="12">
        <f t="shared" ca="1" si="141"/>
        <v>802107.59096229204</v>
      </c>
      <c r="V171" s="12">
        <f t="shared" ca="1" si="142"/>
        <v>967642.17031787056</v>
      </c>
      <c r="W171" s="12">
        <f t="shared" ca="1" si="143"/>
        <v>1007427.6821046635</v>
      </c>
      <c r="X171" s="12">
        <f t="shared" ca="1" si="144"/>
        <v>1266277.2090231187</v>
      </c>
      <c r="Y171" s="12">
        <f t="shared" ca="1" si="145"/>
        <v>1480431.7768550103</v>
      </c>
      <c r="Z171" s="12">
        <f t="shared" ca="1" si="146"/>
        <v>1667209.628082322</v>
      </c>
      <c r="AA171" s="12">
        <f t="shared" ca="1" si="147"/>
        <v>1903253.1894205702</v>
      </c>
      <c r="AB171" s="12">
        <f t="shared" ca="1" si="148"/>
        <v>2422280.9951371937</v>
      </c>
      <c r="AC171" s="12">
        <f t="shared" ca="1" si="149"/>
        <v>2530255.2628384475</v>
      </c>
      <c r="AD171" s="12">
        <f t="shared" ca="1" si="150"/>
        <v>2221552.177581754</v>
      </c>
      <c r="AE171" s="12">
        <f t="shared" ca="1" si="151"/>
        <v>2435194.3984916643</v>
      </c>
      <c r="AF171" s="12">
        <f t="shared" ca="1" si="152"/>
        <v>2650173.9146621358</v>
      </c>
      <c r="AG171" s="12">
        <f t="shared" ca="1" si="153"/>
        <v>3267176.1062527713</v>
      </c>
      <c r="AH171" s="12">
        <f t="shared" ca="1" si="154"/>
        <v>3267176.1062527713</v>
      </c>
    </row>
    <row r="172" spans="2:34" x14ac:dyDescent="0.25">
      <c r="B172" s="6">
        <v>156</v>
      </c>
      <c r="D172" s="12">
        <f t="shared" ca="1" si="124"/>
        <v>192334.81747715722</v>
      </c>
      <c r="E172" s="12">
        <f t="shared" ca="1" si="125"/>
        <v>238838.96437495598</v>
      </c>
      <c r="F172" s="12">
        <f t="shared" ca="1" si="126"/>
        <v>292498.29496296839</v>
      </c>
      <c r="G172" s="12">
        <f t="shared" ca="1" si="127"/>
        <v>363876.06722378905</v>
      </c>
      <c r="H172" s="12">
        <f t="shared" ca="1" si="128"/>
        <v>350907.0239163998</v>
      </c>
      <c r="I172" s="12">
        <f t="shared" ca="1" si="129"/>
        <v>366044.54214751191</v>
      </c>
      <c r="J172" s="12">
        <f t="shared" ca="1" si="130"/>
        <v>418669.10170899687</v>
      </c>
      <c r="K172" s="12">
        <f t="shared" ca="1" si="131"/>
        <v>520145.51349404216</v>
      </c>
      <c r="L172" s="12">
        <f t="shared" ca="1" si="132"/>
        <v>580282.6051870354</v>
      </c>
      <c r="M172" s="12">
        <f t="shared" ca="1" si="133"/>
        <v>615420.64662889158</v>
      </c>
      <c r="N172" s="12">
        <f t="shared" ca="1" si="134"/>
        <v>646913.59945809143</v>
      </c>
      <c r="O172" s="12">
        <f t="shared" ca="1" si="135"/>
        <v>722981.75443673192</v>
      </c>
      <c r="P172" s="12">
        <f t="shared" ca="1" si="136"/>
        <v>740247.74504168041</v>
      </c>
      <c r="Q172" s="12">
        <f t="shared" ca="1" si="137"/>
        <v>849044.90566735237</v>
      </c>
      <c r="R172" s="12">
        <f t="shared" ca="1" si="138"/>
        <v>940562.36581880576</v>
      </c>
      <c r="S172" s="12">
        <f t="shared" ca="1" si="139"/>
        <v>974439.91893081402</v>
      </c>
      <c r="T172" s="12">
        <f t="shared" ca="1" si="140"/>
        <v>1162052.5619770458</v>
      </c>
      <c r="U172" s="12">
        <f t="shared" ca="1" si="141"/>
        <v>1223203.0141167562</v>
      </c>
      <c r="V172" s="12">
        <f t="shared" ca="1" si="142"/>
        <v>1418893.7294333554</v>
      </c>
      <c r="W172" s="12">
        <f t="shared" ca="1" si="143"/>
        <v>1391946.5975874946</v>
      </c>
      <c r="X172" s="12">
        <f t="shared" ca="1" si="144"/>
        <v>1401252.7940361965</v>
      </c>
      <c r="Y172" s="12">
        <f t="shared" ca="1" si="145"/>
        <v>1141559.2155196769</v>
      </c>
      <c r="Z172" s="12">
        <f t="shared" ca="1" si="146"/>
        <v>1291977.9172137787</v>
      </c>
      <c r="AA172" s="12">
        <f t="shared" ca="1" si="147"/>
        <v>1327146.6151978539</v>
      </c>
      <c r="AB172" s="12">
        <f t="shared" ca="1" si="148"/>
        <v>1493120.6499329614</v>
      </c>
      <c r="AC172" s="12">
        <f t="shared" ca="1" si="149"/>
        <v>1545562.1651512694</v>
      </c>
      <c r="AD172" s="12">
        <f t="shared" ca="1" si="150"/>
        <v>1467234.2287648413</v>
      </c>
      <c r="AE172" s="12">
        <f t="shared" ca="1" si="151"/>
        <v>1831525.4328231025</v>
      </c>
      <c r="AF172" s="12">
        <f t="shared" ca="1" si="152"/>
        <v>2018987.5644860312</v>
      </c>
      <c r="AG172" s="12">
        <f t="shared" ca="1" si="153"/>
        <v>1797882.3290894439</v>
      </c>
      <c r="AH172" s="12">
        <f t="shared" ca="1" si="154"/>
        <v>1797882.3290894439</v>
      </c>
    </row>
    <row r="173" spans="2:34" x14ac:dyDescent="0.25">
      <c r="B173" s="6">
        <v>157</v>
      </c>
      <c r="D173" s="12">
        <f t="shared" ca="1" si="124"/>
        <v>167226.62026759723</v>
      </c>
      <c r="E173" s="12">
        <f t="shared" ca="1" si="125"/>
        <v>207408.40717619617</v>
      </c>
      <c r="F173" s="12">
        <f t="shared" ca="1" si="126"/>
        <v>237500.60980365422</v>
      </c>
      <c r="G173" s="12">
        <f t="shared" ca="1" si="127"/>
        <v>236242.2557410392</v>
      </c>
      <c r="H173" s="12">
        <f t="shared" ca="1" si="128"/>
        <v>285864.60561745375</v>
      </c>
      <c r="I173" s="12">
        <f t="shared" ca="1" si="129"/>
        <v>289998.7981962242</v>
      </c>
      <c r="J173" s="12">
        <f t="shared" ca="1" si="130"/>
        <v>344902.5715305669</v>
      </c>
      <c r="K173" s="12">
        <f t="shared" ca="1" si="131"/>
        <v>398065.04516622651</v>
      </c>
      <c r="L173" s="12">
        <f t="shared" ca="1" si="132"/>
        <v>345744.14173507964</v>
      </c>
      <c r="M173" s="12">
        <f t="shared" ca="1" si="133"/>
        <v>379991.13714197936</v>
      </c>
      <c r="N173" s="12">
        <f t="shared" ca="1" si="134"/>
        <v>442053.14632506337</v>
      </c>
      <c r="O173" s="12">
        <f t="shared" ca="1" si="135"/>
        <v>512418.78783031204</v>
      </c>
      <c r="P173" s="12">
        <f t="shared" ca="1" si="136"/>
        <v>602487.18832307099</v>
      </c>
      <c r="Q173" s="12">
        <f t="shared" ca="1" si="137"/>
        <v>567154.09534094937</v>
      </c>
      <c r="R173" s="12">
        <f t="shared" ca="1" si="138"/>
        <v>690165.73792091978</v>
      </c>
      <c r="S173" s="12">
        <f t="shared" ca="1" si="139"/>
        <v>828137.76955810247</v>
      </c>
      <c r="T173" s="12">
        <f t="shared" ca="1" si="140"/>
        <v>938784.58917095908</v>
      </c>
      <c r="U173" s="12">
        <f t="shared" ca="1" si="141"/>
        <v>927056.98140821711</v>
      </c>
      <c r="V173" s="12">
        <f t="shared" ca="1" si="142"/>
        <v>1069788.1903799193</v>
      </c>
      <c r="W173" s="12">
        <f t="shared" ca="1" si="143"/>
        <v>1234826.0301163814</v>
      </c>
      <c r="X173" s="12">
        <f t="shared" ca="1" si="144"/>
        <v>1458486.6701752117</v>
      </c>
      <c r="Y173" s="12">
        <f t="shared" ca="1" si="145"/>
        <v>1349535.4078198939</v>
      </c>
      <c r="Z173" s="12">
        <f t="shared" ca="1" si="146"/>
        <v>1523643.2045365646</v>
      </c>
      <c r="AA173" s="12">
        <f t="shared" ca="1" si="147"/>
        <v>1710392.5081192146</v>
      </c>
      <c r="AB173" s="12">
        <f t="shared" ca="1" si="148"/>
        <v>1883460.7994018411</v>
      </c>
      <c r="AC173" s="12">
        <f t="shared" ca="1" si="149"/>
        <v>2105414.9034873592</v>
      </c>
      <c r="AD173" s="12">
        <f t="shared" ca="1" si="150"/>
        <v>2235513.0605379269</v>
      </c>
      <c r="AE173" s="12">
        <f t="shared" ca="1" si="151"/>
        <v>2232420.9913964742</v>
      </c>
      <c r="AF173" s="12">
        <f t="shared" ca="1" si="152"/>
        <v>2134276.3824832193</v>
      </c>
      <c r="AG173" s="12">
        <f t="shared" ca="1" si="153"/>
        <v>2451228.8362309495</v>
      </c>
      <c r="AH173" s="12">
        <f t="shared" ca="1" si="154"/>
        <v>2451228.8362309495</v>
      </c>
    </row>
    <row r="174" spans="2:34" x14ac:dyDescent="0.25">
      <c r="B174" s="6">
        <v>158</v>
      </c>
      <c r="D174" s="12">
        <f t="shared" ca="1" si="124"/>
        <v>230334.98174543813</v>
      </c>
      <c r="E174" s="12">
        <f t="shared" ca="1" si="125"/>
        <v>272263.77148252685</v>
      </c>
      <c r="F174" s="12">
        <f t="shared" ca="1" si="126"/>
        <v>342896.4310630344</v>
      </c>
      <c r="G174" s="12">
        <f t="shared" ca="1" si="127"/>
        <v>405870.22838501347</v>
      </c>
      <c r="H174" s="12">
        <f t="shared" ca="1" si="128"/>
        <v>520118.40691044368</v>
      </c>
      <c r="I174" s="12">
        <f t="shared" ca="1" si="129"/>
        <v>619544.99616694008</v>
      </c>
      <c r="J174" s="12">
        <f t="shared" ca="1" si="130"/>
        <v>724054.55300020787</v>
      </c>
      <c r="K174" s="12">
        <f t="shared" ca="1" si="131"/>
        <v>726594.83825630986</v>
      </c>
      <c r="L174" s="12">
        <f t="shared" ca="1" si="132"/>
        <v>867440.33069456602</v>
      </c>
      <c r="M174" s="12">
        <f t="shared" ca="1" si="133"/>
        <v>940335.10922870529</v>
      </c>
      <c r="N174" s="12">
        <f t="shared" ca="1" si="134"/>
        <v>1164297.1605507177</v>
      </c>
      <c r="O174" s="12">
        <f t="shared" ca="1" si="135"/>
        <v>1249692.4921232238</v>
      </c>
      <c r="P174" s="12">
        <f t="shared" ca="1" si="136"/>
        <v>1404570.1824799122</v>
      </c>
      <c r="Q174" s="12">
        <f t="shared" ca="1" si="137"/>
        <v>1516998.9720328071</v>
      </c>
      <c r="R174" s="12">
        <f t="shared" ca="1" si="138"/>
        <v>1623030.6732582883</v>
      </c>
      <c r="S174" s="12">
        <f t="shared" ca="1" si="139"/>
        <v>1579516.2813902232</v>
      </c>
      <c r="T174" s="12">
        <f t="shared" ca="1" si="140"/>
        <v>1278599.9763843664</v>
      </c>
      <c r="U174" s="12">
        <f t="shared" ca="1" si="141"/>
        <v>1566002.9696799426</v>
      </c>
      <c r="V174" s="12">
        <f t="shared" ca="1" si="142"/>
        <v>1618959.2416867558</v>
      </c>
      <c r="W174" s="12">
        <f t="shared" ca="1" si="143"/>
        <v>1717632.2683087599</v>
      </c>
      <c r="X174" s="12">
        <f t="shared" ca="1" si="144"/>
        <v>1892422.4084423329</v>
      </c>
      <c r="Y174" s="12">
        <f t="shared" ca="1" si="145"/>
        <v>2369409.0118859191</v>
      </c>
      <c r="Z174" s="12">
        <f t="shared" ca="1" si="146"/>
        <v>2951539.0665445384</v>
      </c>
      <c r="AA174" s="12">
        <f t="shared" ca="1" si="147"/>
        <v>3126525.378370577</v>
      </c>
      <c r="AB174" s="12">
        <f t="shared" ca="1" si="148"/>
        <v>3254385.486887747</v>
      </c>
      <c r="AC174" s="12">
        <f t="shared" ca="1" si="149"/>
        <v>2890887.2727666521</v>
      </c>
      <c r="AD174" s="12">
        <f t="shared" ca="1" si="150"/>
        <v>3042207.12033229</v>
      </c>
      <c r="AE174" s="12">
        <f t="shared" ca="1" si="151"/>
        <v>2919836.4007633394</v>
      </c>
      <c r="AF174" s="12">
        <f t="shared" ca="1" si="152"/>
        <v>3760579.9864175306</v>
      </c>
      <c r="AG174" s="12">
        <f t="shared" ca="1" si="153"/>
        <v>4683451.2106710263</v>
      </c>
      <c r="AH174" s="12">
        <f t="shared" ca="1" si="154"/>
        <v>4683451.2106710263</v>
      </c>
    </row>
    <row r="175" spans="2:34" x14ac:dyDescent="0.25">
      <c r="B175" s="6">
        <v>159</v>
      </c>
      <c r="D175" s="12">
        <f t="shared" ca="1" si="124"/>
        <v>196878.91322932328</v>
      </c>
      <c r="E175" s="12">
        <f t="shared" ca="1" si="125"/>
        <v>260558.36695743201</v>
      </c>
      <c r="F175" s="12">
        <f t="shared" ca="1" si="126"/>
        <v>232852.02380609678</v>
      </c>
      <c r="G175" s="12">
        <f t="shared" ca="1" si="127"/>
        <v>247983.47650370505</v>
      </c>
      <c r="H175" s="12">
        <f t="shared" ca="1" si="128"/>
        <v>248707.11244381359</v>
      </c>
      <c r="I175" s="12">
        <f t="shared" ca="1" si="129"/>
        <v>281423.36497656815</v>
      </c>
      <c r="J175" s="12">
        <f t="shared" ca="1" si="130"/>
        <v>351919.24974585033</v>
      </c>
      <c r="K175" s="12">
        <f t="shared" ca="1" si="131"/>
        <v>406986.41471599042</v>
      </c>
      <c r="L175" s="12">
        <f t="shared" ca="1" si="132"/>
        <v>482677.33520411095</v>
      </c>
      <c r="M175" s="12">
        <f t="shared" ca="1" si="133"/>
        <v>505360.75161125016</v>
      </c>
      <c r="N175" s="12">
        <f t="shared" ca="1" si="134"/>
        <v>538726.95043797884</v>
      </c>
      <c r="O175" s="12">
        <f t="shared" ca="1" si="135"/>
        <v>593135.2210531577</v>
      </c>
      <c r="P175" s="12">
        <f t="shared" ca="1" si="136"/>
        <v>725228.0345441876</v>
      </c>
      <c r="Q175" s="12">
        <f t="shared" ca="1" si="137"/>
        <v>817299.61074105406</v>
      </c>
      <c r="R175" s="12">
        <f t="shared" ca="1" si="138"/>
        <v>936967.06834717875</v>
      </c>
      <c r="S175" s="12">
        <f t="shared" ca="1" si="139"/>
        <v>931428.99948004039</v>
      </c>
      <c r="T175" s="12">
        <f t="shared" ca="1" si="140"/>
        <v>1001898.8946392022</v>
      </c>
      <c r="U175" s="12">
        <f t="shared" ca="1" si="141"/>
        <v>962922.18768733065</v>
      </c>
      <c r="V175" s="12">
        <f t="shared" ca="1" si="142"/>
        <v>907626.23920046294</v>
      </c>
      <c r="W175" s="12">
        <f t="shared" ca="1" si="143"/>
        <v>1048359.0707469039</v>
      </c>
      <c r="X175" s="12">
        <f t="shared" ca="1" si="144"/>
        <v>1026719.0606894934</v>
      </c>
      <c r="Y175" s="12">
        <f t="shared" ca="1" si="145"/>
        <v>1162204.8808427169</v>
      </c>
      <c r="Z175" s="12">
        <f t="shared" ca="1" si="146"/>
        <v>1380471.7289935623</v>
      </c>
      <c r="AA175" s="12">
        <f t="shared" ca="1" si="147"/>
        <v>1706425.7030527249</v>
      </c>
      <c r="AB175" s="12">
        <f t="shared" ca="1" si="148"/>
        <v>1582162.7841719519</v>
      </c>
      <c r="AC175" s="12">
        <f t="shared" ca="1" si="149"/>
        <v>1698455.1292379573</v>
      </c>
      <c r="AD175" s="12">
        <f t="shared" ca="1" si="150"/>
        <v>1738435.7752956979</v>
      </c>
      <c r="AE175" s="12">
        <f t="shared" ca="1" si="151"/>
        <v>1856915.1625530093</v>
      </c>
      <c r="AF175" s="12">
        <f t="shared" ca="1" si="152"/>
        <v>2099172.138030638</v>
      </c>
      <c r="AG175" s="12">
        <f t="shared" ca="1" si="153"/>
        <v>2338120.9388543931</v>
      </c>
      <c r="AH175" s="12">
        <f t="shared" ca="1" si="154"/>
        <v>2338120.9388543931</v>
      </c>
    </row>
    <row r="176" spans="2:34" x14ac:dyDescent="0.25">
      <c r="B176" s="6">
        <v>160</v>
      </c>
      <c r="D176" s="12">
        <f t="shared" ca="1" si="124"/>
        <v>172060.44440713892</v>
      </c>
      <c r="E176" s="12">
        <f t="shared" ca="1" si="125"/>
        <v>236498.27380130108</v>
      </c>
      <c r="F176" s="12">
        <f t="shared" ca="1" si="126"/>
        <v>274458.54428403242</v>
      </c>
      <c r="G176" s="12">
        <f t="shared" ca="1" si="127"/>
        <v>350566.46011690766</v>
      </c>
      <c r="H176" s="12">
        <f t="shared" ca="1" si="128"/>
        <v>391108.58906729188</v>
      </c>
      <c r="I176" s="12">
        <f t="shared" ca="1" si="129"/>
        <v>455892.96601464902</v>
      </c>
      <c r="J176" s="12">
        <f t="shared" ca="1" si="130"/>
        <v>523923.69631511741</v>
      </c>
      <c r="K176" s="12">
        <f t="shared" ca="1" si="131"/>
        <v>476273.6336872169</v>
      </c>
      <c r="L176" s="12">
        <f t="shared" ca="1" si="132"/>
        <v>609887.65390672151</v>
      </c>
      <c r="M176" s="12">
        <f t="shared" ca="1" si="133"/>
        <v>731214.10626288131</v>
      </c>
      <c r="N176" s="12">
        <f t="shared" ca="1" si="134"/>
        <v>846313.13995585381</v>
      </c>
      <c r="O176" s="12">
        <f t="shared" ca="1" si="135"/>
        <v>1006575.5328930614</v>
      </c>
      <c r="P176" s="12">
        <f t="shared" ca="1" si="136"/>
        <v>816801.36136243423</v>
      </c>
      <c r="Q176" s="12">
        <f t="shared" ca="1" si="137"/>
        <v>903905.89543758053</v>
      </c>
      <c r="R176" s="12">
        <f t="shared" ca="1" si="138"/>
        <v>916827.07593417773</v>
      </c>
      <c r="S176" s="12">
        <f t="shared" ca="1" si="139"/>
        <v>835647.85979981709</v>
      </c>
      <c r="T176" s="12">
        <f t="shared" ca="1" si="140"/>
        <v>894748.999445764</v>
      </c>
      <c r="U176" s="12">
        <f t="shared" ca="1" si="141"/>
        <v>1109135.8810419706</v>
      </c>
      <c r="V176" s="12">
        <f t="shared" ca="1" si="142"/>
        <v>1066870.7298867903</v>
      </c>
      <c r="W176" s="12">
        <f t="shared" ca="1" si="143"/>
        <v>1171429.8018000296</v>
      </c>
      <c r="X176" s="12">
        <f t="shared" ca="1" si="144"/>
        <v>1253883.8155757373</v>
      </c>
      <c r="Y176" s="12">
        <f t="shared" ca="1" si="145"/>
        <v>1328731.7702290746</v>
      </c>
      <c r="Z176" s="12">
        <f t="shared" ca="1" si="146"/>
        <v>1274007.3972893446</v>
      </c>
      <c r="AA176" s="12">
        <f t="shared" ca="1" si="147"/>
        <v>1530421.8002320055</v>
      </c>
      <c r="AB176" s="12">
        <f t="shared" ca="1" si="148"/>
        <v>1413594.1799690102</v>
      </c>
      <c r="AC176" s="12">
        <f t="shared" ca="1" si="149"/>
        <v>1621607.06410651</v>
      </c>
      <c r="AD176" s="12">
        <f t="shared" ca="1" si="150"/>
        <v>1724114.4762526012</v>
      </c>
      <c r="AE176" s="12">
        <f t="shared" ca="1" si="151"/>
        <v>1849867.1439153007</v>
      </c>
      <c r="AF176" s="12">
        <f t="shared" ca="1" si="152"/>
        <v>2042951.8534719446</v>
      </c>
      <c r="AG176" s="12">
        <f t="shared" ca="1" si="153"/>
        <v>2375809.7918768409</v>
      </c>
      <c r="AH176" s="12">
        <f t="shared" ca="1" si="154"/>
        <v>2375809.7918768409</v>
      </c>
    </row>
    <row r="177" spans="2:34" x14ac:dyDescent="0.25">
      <c r="B177" s="6">
        <v>161</v>
      </c>
      <c r="D177" s="12">
        <f t="shared" ref="D177:D208" ca="1" si="155">$C$5*(1+NORMINV(RAND(),$C$8,$C$9))+$C$6</f>
        <v>197948.50433332415</v>
      </c>
      <c r="E177" s="12">
        <f t="shared" ref="E177:E208" ca="1" si="156">D177*(1+NORMINV(RAND(),$C$8,$C$9))+$C$6*(1+$C$7)^1</f>
        <v>217269.79677631718</v>
      </c>
      <c r="F177" s="12">
        <f t="shared" ref="F177:F208" ca="1" si="157">E177*(1+NORMINV(RAND(),$C$8,$C$9))+$C$6*(1+$C$7)^2</f>
        <v>271097.9719040707</v>
      </c>
      <c r="G177" s="12">
        <f t="shared" ref="G177:G208" ca="1" si="158">F177*(1+NORMINV(RAND(),$C$8,$C$9))+$C$6*(1+$C$7)^3</f>
        <v>273396.1926723441</v>
      </c>
      <c r="H177" s="12">
        <f t="shared" ref="H177:H208" ca="1" si="159">G177*(1+NORMINV(RAND(),$C$8,$C$9))+$C$6*(1+$C$7)^4</f>
        <v>317657.19977835525</v>
      </c>
      <c r="I177" s="12">
        <f t="shared" ref="I177:I208" ca="1" si="160">H177*(1+NORMINV(RAND(),$C$8,$C$9))+$C$6*(1+$C$7)^5</f>
        <v>359868.87450203113</v>
      </c>
      <c r="J177" s="12">
        <f t="shared" ref="J177:J208" ca="1" si="161">I177*(1+NORMINV(RAND(),$C$8,$C$9))+$C$6*(1+$C$7)^6</f>
        <v>356622.48842155194</v>
      </c>
      <c r="K177" s="12">
        <f t="shared" ref="K177:K208" ca="1" si="162">J177*(1+NORMINV(RAND(),$C$8,$C$9))+$C$6*(1+$C$7)^7</f>
        <v>439533.52823838632</v>
      </c>
      <c r="L177" s="12">
        <f t="shared" ref="L177:L208" ca="1" si="163">K177*(1+NORMINV(RAND(),$C$8,$C$9))+$C$6*(1+$C$7)^8</f>
        <v>542949.04557907477</v>
      </c>
      <c r="M177" s="12">
        <f t="shared" ref="M177:M208" ca="1" si="164">L177*(1+NORMINV(RAND(),$C$8,$C$9))+$C$6*(1+$C$7)^9</f>
        <v>654289.39335600799</v>
      </c>
      <c r="N177" s="12">
        <f t="shared" ref="N177:N208" ca="1" si="165">M177*(1+NORMINV(RAND(),$C$8,$C$9))+$C$6*(1+$C$7)^10</f>
        <v>784117.13131357415</v>
      </c>
      <c r="O177" s="12">
        <f t="shared" ref="O177:O208" ca="1" si="166">N177*(1+NORMINV(RAND(),$C$8,$C$9))+$C$6*(1+$C$7)^11</f>
        <v>795628.71559815085</v>
      </c>
      <c r="P177" s="12">
        <f t="shared" ref="P177:P208" ca="1" si="167">O177*(1+NORMINV(RAND(),$C$8,$C$9))+$C$6*(1+$C$7)^12</f>
        <v>912215.06181009626</v>
      </c>
      <c r="Q177" s="12">
        <f t="shared" ref="Q177:Q208" ca="1" si="168">P177*(1+NORMINV(RAND(),$C$8,$C$9))+$C$6*(1+$C$7)^13</f>
        <v>1038097.8978758381</v>
      </c>
      <c r="R177" s="12">
        <f t="shared" ref="R177:R208" ca="1" si="169">Q177*(1+NORMINV(RAND(),$C$8,$C$9))+$C$6*(1+$C$7)^14</f>
        <v>1295032.1993119135</v>
      </c>
      <c r="S177" s="12">
        <f t="shared" ref="S177:S208" ca="1" si="170">R177*(1+NORMINV(RAND(),$C$8,$C$9))+$C$6*(1+$C$7)^15</f>
        <v>1227330.3407595709</v>
      </c>
      <c r="T177" s="12">
        <f t="shared" ref="T177:T208" ca="1" si="171">S177*(1+NORMINV(RAND(),$C$8,$C$9))+$C$6*(1+$C$7)^16</f>
        <v>1558161.1023156873</v>
      </c>
      <c r="U177" s="12">
        <f t="shared" ref="U177:U208" ca="1" si="172">T177*(1+NORMINV(RAND(),$C$8,$C$9))+$C$6*(1+$C$7)^17</f>
        <v>1606417.3067379775</v>
      </c>
      <c r="V177" s="12">
        <f t="shared" ref="V177:V208" ca="1" si="173">U177*(1+NORMINV(RAND(),$C$8,$C$9))+$C$6*(1+$C$7)^18</f>
        <v>1744858.240316987</v>
      </c>
      <c r="W177" s="12">
        <f t="shared" ref="W177:W208" ca="1" si="174">V177*(1+NORMINV(RAND(),$C$8,$C$9))+$C$6*(1+$C$7)^19</f>
        <v>2301454.1844478208</v>
      </c>
      <c r="X177" s="12">
        <f t="shared" ref="X177:X208" ca="1" si="175">W177*(1+NORMINV(RAND(),$C$8,$C$9))+$C$6*(1+$C$7)^20</f>
        <v>1992147.1605245988</v>
      </c>
      <c r="Y177" s="12">
        <f t="shared" ref="Y177:Y208" ca="1" si="176">X177*(1+NORMINV(RAND(),$C$8,$C$9))+$C$6*(1+$C$7)^21</f>
        <v>2194811.1461699321</v>
      </c>
      <c r="Z177" s="12">
        <f t="shared" ref="Z177:Z208" ca="1" si="177">Y177*(1+NORMINV(RAND(),$C$8,$C$9))+$C$6*(1+$C$7)^22</f>
        <v>2310363.873306545</v>
      </c>
      <c r="AA177" s="12">
        <f t="shared" ref="AA177:AA208" ca="1" si="178">Z177*(1+NORMINV(RAND(),$C$8,$C$9))+$C$6*(1+$C$7)^23</f>
        <v>2408556.7414352009</v>
      </c>
      <c r="AB177" s="12">
        <f t="shared" ref="AB177:AB208" ca="1" si="179">AA177*(1+NORMINV(RAND(),$C$8,$C$9))+$C$6*(1+$C$7)^24</f>
        <v>2854517.7321603512</v>
      </c>
      <c r="AC177" s="12">
        <f t="shared" ref="AC177:AC208" ca="1" si="180">AB177*(1+NORMINV(RAND(),$C$8,$C$9))+$C$6*(1+$C$7)^25</f>
        <v>2754718.858817358</v>
      </c>
      <c r="AD177" s="12">
        <f t="shared" ref="AD177:AD208" ca="1" si="181">AC177*(1+NORMINV(RAND(),$C$8,$C$9))+$C$6*(1+$C$7)^26</f>
        <v>3098062.009334954</v>
      </c>
      <c r="AE177" s="12">
        <f t="shared" ref="AE177:AE208" ca="1" si="182">AD177*(1+NORMINV(RAND(),$C$8,$C$9))+$C$6*(1+$C$7)^27</f>
        <v>3500623.8646134501</v>
      </c>
      <c r="AF177" s="12">
        <f t="shared" ref="AF177:AF208" ca="1" si="183">AE177*(1+NORMINV(RAND(),$C$8,$C$9))+$C$6*(1+$C$7)^28</f>
        <v>2721578.6898484817</v>
      </c>
      <c r="AG177" s="12">
        <f t="shared" ref="AG177:AG208" ca="1" si="184">AF177*(1+NORMINV(RAND(),$C$8,$C$9))+$C$6*(1+$C$7)^29</f>
        <v>3088030.7403542073</v>
      </c>
      <c r="AH177" s="12">
        <f t="shared" ref="AH177:AH208" ca="1" si="185">AG177</f>
        <v>3088030.7403542073</v>
      </c>
    </row>
    <row r="178" spans="2:34" x14ac:dyDescent="0.25">
      <c r="B178" s="6">
        <v>162</v>
      </c>
      <c r="D178" s="12">
        <f t="shared" ca="1" si="155"/>
        <v>201704.47021909402</v>
      </c>
      <c r="E178" s="12">
        <f t="shared" ca="1" si="156"/>
        <v>217572.40727121965</v>
      </c>
      <c r="F178" s="12">
        <f t="shared" ca="1" si="157"/>
        <v>253987.61574901201</v>
      </c>
      <c r="G178" s="12">
        <f t="shared" ca="1" si="158"/>
        <v>316824.89306300587</v>
      </c>
      <c r="H178" s="12">
        <f t="shared" ca="1" si="159"/>
        <v>315499.91282728245</v>
      </c>
      <c r="I178" s="12">
        <f t="shared" ca="1" si="160"/>
        <v>379473.28586661781</v>
      </c>
      <c r="J178" s="12">
        <f t="shared" ca="1" si="161"/>
        <v>462480.83450870414</v>
      </c>
      <c r="K178" s="12">
        <f t="shared" ca="1" si="162"/>
        <v>530677.16094730806</v>
      </c>
      <c r="L178" s="12">
        <f t="shared" ca="1" si="163"/>
        <v>577643.27059650247</v>
      </c>
      <c r="M178" s="12">
        <f t="shared" ca="1" si="164"/>
        <v>727067.76820298925</v>
      </c>
      <c r="N178" s="12">
        <f t="shared" ca="1" si="165"/>
        <v>927650.05325364706</v>
      </c>
      <c r="O178" s="12">
        <f t="shared" ca="1" si="166"/>
        <v>789079.47718250903</v>
      </c>
      <c r="P178" s="12">
        <f t="shared" ca="1" si="167"/>
        <v>788918.15853382729</v>
      </c>
      <c r="Q178" s="12">
        <f t="shared" ca="1" si="168"/>
        <v>925569.37987213442</v>
      </c>
      <c r="R178" s="12">
        <f t="shared" ca="1" si="169"/>
        <v>865723.52597872203</v>
      </c>
      <c r="S178" s="12">
        <f t="shared" ca="1" si="170"/>
        <v>873346.41598538286</v>
      </c>
      <c r="T178" s="12">
        <f t="shared" ca="1" si="171"/>
        <v>864367.18745640328</v>
      </c>
      <c r="U178" s="12">
        <f t="shared" ca="1" si="172"/>
        <v>814526.45145912457</v>
      </c>
      <c r="V178" s="12">
        <f t="shared" ca="1" si="173"/>
        <v>860650.43614379456</v>
      </c>
      <c r="W178" s="12">
        <f t="shared" ca="1" si="174"/>
        <v>1132384.7739534921</v>
      </c>
      <c r="X178" s="12">
        <f t="shared" ca="1" si="175"/>
        <v>1472584.6295786432</v>
      </c>
      <c r="Y178" s="12">
        <f t="shared" ca="1" si="176"/>
        <v>1721762.4705493797</v>
      </c>
      <c r="Z178" s="12">
        <f t="shared" ca="1" si="177"/>
        <v>1591837.2350340968</v>
      </c>
      <c r="AA178" s="12">
        <f t="shared" ca="1" si="178"/>
        <v>1640561.775929339</v>
      </c>
      <c r="AB178" s="12">
        <f t="shared" ca="1" si="179"/>
        <v>1260663.7180005894</v>
      </c>
      <c r="AC178" s="12">
        <f t="shared" ca="1" si="180"/>
        <v>1510456.6970332901</v>
      </c>
      <c r="AD178" s="12">
        <f t="shared" ca="1" si="181"/>
        <v>1840101.1856855568</v>
      </c>
      <c r="AE178" s="12">
        <f t="shared" ca="1" si="182"/>
        <v>1958416.4739232773</v>
      </c>
      <c r="AF178" s="12">
        <f t="shared" ca="1" si="183"/>
        <v>1721086.4996573548</v>
      </c>
      <c r="AG178" s="12">
        <f t="shared" ca="1" si="184"/>
        <v>1764448.0531417939</v>
      </c>
      <c r="AH178" s="12">
        <f t="shared" ca="1" si="185"/>
        <v>1764448.0531417939</v>
      </c>
    </row>
    <row r="179" spans="2:34" x14ac:dyDescent="0.25">
      <c r="B179" s="6">
        <v>163</v>
      </c>
      <c r="D179" s="12">
        <f t="shared" ca="1" si="155"/>
        <v>207999.46012140476</v>
      </c>
      <c r="E179" s="12">
        <f t="shared" ca="1" si="156"/>
        <v>230507.55454949272</v>
      </c>
      <c r="F179" s="12">
        <f t="shared" ca="1" si="157"/>
        <v>267347.01265581266</v>
      </c>
      <c r="G179" s="12">
        <f t="shared" ca="1" si="158"/>
        <v>297919.09272485931</v>
      </c>
      <c r="H179" s="12">
        <f t="shared" ca="1" si="159"/>
        <v>373062.82171313459</v>
      </c>
      <c r="I179" s="12">
        <f t="shared" ca="1" si="160"/>
        <v>352909.77692179359</v>
      </c>
      <c r="J179" s="12">
        <f t="shared" ca="1" si="161"/>
        <v>396339.2951781947</v>
      </c>
      <c r="K179" s="12">
        <f t="shared" ca="1" si="162"/>
        <v>466464.41054269666</v>
      </c>
      <c r="L179" s="12">
        <f t="shared" ca="1" si="163"/>
        <v>546799.77532605606</v>
      </c>
      <c r="M179" s="12">
        <f t="shared" ca="1" si="164"/>
        <v>550885.19043193606</v>
      </c>
      <c r="N179" s="12">
        <f t="shared" ca="1" si="165"/>
        <v>575108.20993508783</v>
      </c>
      <c r="O179" s="12">
        <f t="shared" ca="1" si="166"/>
        <v>668966.72597836726</v>
      </c>
      <c r="P179" s="12">
        <f t="shared" ca="1" si="167"/>
        <v>758266.08529007295</v>
      </c>
      <c r="Q179" s="12">
        <f t="shared" ca="1" si="168"/>
        <v>834562.95719598536</v>
      </c>
      <c r="R179" s="12">
        <f t="shared" ca="1" si="169"/>
        <v>1125308.316385461</v>
      </c>
      <c r="S179" s="12">
        <f t="shared" ca="1" si="170"/>
        <v>1185309.3163700339</v>
      </c>
      <c r="T179" s="12">
        <f t="shared" ca="1" si="171"/>
        <v>1648242.2110337764</v>
      </c>
      <c r="U179" s="12">
        <f t="shared" ca="1" si="172"/>
        <v>2164452.0845857724</v>
      </c>
      <c r="V179" s="12">
        <f t="shared" ca="1" si="173"/>
        <v>1923460.5630974323</v>
      </c>
      <c r="W179" s="12">
        <f t="shared" ca="1" si="174"/>
        <v>1945458.60682147</v>
      </c>
      <c r="X179" s="12">
        <f t="shared" ca="1" si="175"/>
        <v>1758779.0223818657</v>
      </c>
      <c r="Y179" s="12">
        <f t="shared" ca="1" si="176"/>
        <v>1933886.1532165366</v>
      </c>
      <c r="Z179" s="12">
        <f t="shared" ca="1" si="177"/>
        <v>1612536.9977986913</v>
      </c>
      <c r="AA179" s="12">
        <f t="shared" ca="1" si="178"/>
        <v>1843404.3599877851</v>
      </c>
      <c r="AB179" s="12">
        <f t="shared" ca="1" si="179"/>
        <v>2244900.5781812803</v>
      </c>
      <c r="AC179" s="12">
        <f t="shared" ca="1" si="180"/>
        <v>2359212.6942707933</v>
      </c>
      <c r="AD179" s="12">
        <f t="shared" ca="1" si="181"/>
        <v>2232563.1960976822</v>
      </c>
      <c r="AE179" s="12">
        <f t="shared" ca="1" si="182"/>
        <v>2469807.9492463907</v>
      </c>
      <c r="AF179" s="12">
        <f t="shared" ca="1" si="183"/>
        <v>3155173.7146164742</v>
      </c>
      <c r="AG179" s="12">
        <f t="shared" ca="1" si="184"/>
        <v>2846229.0848995908</v>
      </c>
      <c r="AH179" s="12">
        <f t="shared" ca="1" si="185"/>
        <v>2846229.0848995908</v>
      </c>
    </row>
    <row r="180" spans="2:34" x14ac:dyDescent="0.25">
      <c r="B180" s="6">
        <v>164</v>
      </c>
      <c r="D180" s="12">
        <f t="shared" ca="1" si="155"/>
        <v>178753.28113510393</v>
      </c>
      <c r="E180" s="12">
        <f t="shared" ca="1" si="156"/>
        <v>223579.46665594302</v>
      </c>
      <c r="F180" s="12">
        <f t="shared" ca="1" si="157"/>
        <v>269220.33252531663</v>
      </c>
      <c r="G180" s="12">
        <f t="shared" ca="1" si="158"/>
        <v>229755.43605085323</v>
      </c>
      <c r="H180" s="12">
        <f t="shared" ca="1" si="159"/>
        <v>223555.34671081553</v>
      </c>
      <c r="I180" s="12">
        <f t="shared" ca="1" si="160"/>
        <v>315545.83724695985</v>
      </c>
      <c r="J180" s="12">
        <f t="shared" ca="1" si="161"/>
        <v>361089.263287073</v>
      </c>
      <c r="K180" s="12">
        <f t="shared" ca="1" si="162"/>
        <v>379240.46551139891</v>
      </c>
      <c r="L180" s="12">
        <f t="shared" ca="1" si="163"/>
        <v>350968.43580877624</v>
      </c>
      <c r="M180" s="12">
        <f t="shared" ca="1" si="164"/>
        <v>436390.08390657272</v>
      </c>
      <c r="N180" s="12">
        <f t="shared" ca="1" si="165"/>
        <v>526251.55071969167</v>
      </c>
      <c r="O180" s="12">
        <f t="shared" ca="1" si="166"/>
        <v>622069.56877833989</v>
      </c>
      <c r="P180" s="12">
        <f t="shared" ca="1" si="167"/>
        <v>583876.39623381023</v>
      </c>
      <c r="Q180" s="12">
        <f t="shared" ca="1" si="168"/>
        <v>616950.84776023787</v>
      </c>
      <c r="R180" s="12">
        <f t="shared" ca="1" si="169"/>
        <v>725870.67629719537</v>
      </c>
      <c r="S180" s="12">
        <f t="shared" ca="1" si="170"/>
        <v>839792.36023383914</v>
      </c>
      <c r="T180" s="12">
        <f t="shared" ca="1" si="171"/>
        <v>756517.25298936688</v>
      </c>
      <c r="U180" s="12">
        <f t="shared" ca="1" si="172"/>
        <v>927524.69116642547</v>
      </c>
      <c r="V180" s="12">
        <f t="shared" ca="1" si="173"/>
        <v>964450.04637972114</v>
      </c>
      <c r="W180" s="12">
        <f t="shared" ca="1" si="174"/>
        <v>1056503.291497122</v>
      </c>
      <c r="X180" s="12">
        <f t="shared" ca="1" si="175"/>
        <v>989103.35895784653</v>
      </c>
      <c r="Y180" s="12">
        <f t="shared" ca="1" si="176"/>
        <v>1234929.3136177</v>
      </c>
      <c r="Z180" s="12">
        <f t="shared" ca="1" si="177"/>
        <v>1529960.3405119965</v>
      </c>
      <c r="AA180" s="12">
        <f t="shared" ca="1" si="178"/>
        <v>1586859.4901227616</v>
      </c>
      <c r="AB180" s="12">
        <f t="shared" ca="1" si="179"/>
        <v>1662486.433973491</v>
      </c>
      <c r="AC180" s="12">
        <f t="shared" ca="1" si="180"/>
        <v>1726731.4803911799</v>
      </c>
      <c r="AD180" s="12">
        <f t="shared" ca="1" si="181"/>
        <v>1594688.8790017597</v>
      </c>
      <c r="AE180" s="12">
        <f t="shared" ca="1" si="182"/>
        <v>1962129.3610985531</v>
      </c>
      <c r="AF180" s="12">
        <f t="shared" ca="1" si="183"/>
        <v>2097530.4188891267</v>
      </c>
      <c r="AG180" s="12">
        <f t="shared" ca="1" si="184"/>
        <v>1919471.8791996546</v>
      </c>
      <c r="AH180" s="12">
        <f t="shared" ca="1" si="185"/>
        <v>1919471.8791996546</v>
      </c>
    </row>
    <row r="181" spans="2:34" x14ac:dyDescent="0.25">
      <c r="B181" s="6">
        <v>165</v>
      </c>
      <c r="D181" s="12">
        <f t="shared" ca="1" si="155"/>
        <v>178382.65209719221</v>
      </c>
      <c r="E181" s="12">
        <f t="shared" ca="1" si="156"/>
        <v>196730.72379036061</v>
      </c>
      <c r="F181" s="12">
        <f t="shared" ca="1" si="157"/>
        <v>250975.52180817811</v>
      </c>
      <c r="G181" s="12">
        <f t="shared" ca="1" si="158"/>
        <v>234017.02155829506</v>
      </c>
      <c r="H181" s="12">
        <f t="shared" ca="1" si="159"/>
        <v>317453.93104521622</v>
      </c>
      <c r="I181" s="12">
        <f t="shared" ca="1" si="160"/>
        <v>335169.89982770511</v>
      </c>
      <c r="J181" s="12">
        <f t="shared" ca="1" si="161"/>
        <v>415255.52002406615</v>
      </c>
      <c r="K181" s="12">
        <f t="shared" ca="1" si="162"/>
        <v>414040.98766472226</v>
      </c>
      <c r="L181" s="12">
        <f t="shared" ca="1" si="163"/>
        <v>450621.51348677604</v>
      </c>
      <c r="M181" s="12">
        <f t="shared" ca="1" si="164"/>
        <v>541053.64348958852</v>
      </c>
      <c r="N181" s="12">
        <f t="shared" ca="1" si="165"/>
        <v>588649.15554221231</v>
      </c>
      <c r="O181" s="12">
        <f t="shared" ca="1" si="166"/>
        <v>664925.30043304083</v>
      </c>
      <c r="P181" s="12">
        <f t="shared" ca="1" si="167"/>
        <v>647872.3339278549</v>
      </c>
      <c r="Q181" s="12">
        <f t="shared" ca="1" si="168"/>
        <v>663931.26625515206</v>
      </c>
      <c r="R181" s="12">
        <f t="shared" ca="1" si="169"/>
        <v>732467.38517516654</v>
      </c>
      <c r="S181" s="12">
        <f t="shared" ca="1" si="170"/>
        <v>782987.48630715755</v>
      </c>
      <c r="T181" s="12">
        <f t="shared" ca="1" si="171"/>
        <v>771415.09457633016</v>
      </c>
      <c r="U181" s="12">
        <f t="shared" ca="1" si="172"/>
        <v>781496.30876803026</v>
      </c>
      <c r="V181" s="12">
        <f t="shared" ca="1" si="173"/>
        <v>912560.66739289986</v>
      </c>
      <c r="W181" s="12">
        <f t="shared" ca="1" si="174"/>
        <v>1026513.2985264276</v>
      </c>
      <c r="X181" s="12">
        <f t="shared" ca="1" si="175"/>
        <v>1160919.9073522671</v>
      </c>
      <c r="Y181" s="12">
        <f t="shared" ca="1" si="176"/>
        <v>1286239.6665299095</v>
      </c>
      <c r="Z181" s="12">
        <f t="shared" ca="1" si="177"/>
        <v>1201379.2756176516</v>
      </c>
      <c r="AA181" s="12">
        <f t="shared" ca="1" si="178"/>
        <v>1393312.9323785922</v>
      </c>
      <c r="AB181" s="12">
        <f t="shared" ca="1" si="179"/>
        <v>1342980.6517208889</v>
      </c>
      <c r="AC181" s="12">
        <f t="shared" ca="1" si="180"/>
        <v>1490329.7671379994</v>
      </c>
      <c r="AD181" s="12">
        <f t="shared" ca="1" si="181"/>
        <v>1484505.6099117787</v>
      </c>
      <c r="AE181" s="12">
        <f t="shared" ca="1" si="182"/>
        <v>1481430.2944424581</v>
      </c>
      <c r="AF181" s="12">
        <f t="shared" ca="1" si="183"/>
        <v>1285096.408547424</v>
      </c>
      <c r="AG181" s="12">
        <f t="shared" ca="1" si="184"/>
        <v>1490290.7708157653</v>
      </c>
      <c r="AH181" s="12">
        <f t="shared" ca="1" si="185"/>
        <v>1490290.7708157653</v>
      </c>
    </row>
    <row r="182" spans="2:34" x14ac:dyDescent="0.25">
      <c r="B182" s="6">
        <v>166</v>
      </c>
      <c r="D182" s="12">
        <f t="shared" ca="1" si="155"/>
        <v>189450.79775071039</v>
      </c>
      <c r="E182" s="12">
        <f t="shared" ca="1" si="156"/>
        <v>210278.47684752051</v>
      </c>
      <c r="F182" s="12">
        <f t="shared" ca="1" si="157"/>
        <v>301069.52328259137</v>
      </c>
      <c r="G182" s="12">
        <f t="shared" ca="1" si="158"/>
        <v>379424.60007462162</v>
      </c>
      <c r="H182" s="12">
        <f t="shared" ca="1" si="159"/>
        <v>403661.29307949956</v>
      </c>
      <c r="I182" s="12">
        <f t="shared" ca="1" si="160"/>
        <v>434977.17527121393</v>
      </c>
      <c r="J182" s="12">
        <f t="shared" ca="1" si="161"/>
        <v>509775.05979982874</v>
      </c>
      <c r="K182" s="12">
        <f t="shared" ca="1" si="162"/>
        <v>590888.24507874937</v>
      </c>
      <c r="L182" s="12">
        <f t="shared" ca="1" si="163"/>
        <v>603661.8068039465</v>
      </c>
      <c r="M182" s="12">
        <f t="shared" ca="1" si="164"/>
        <v>628027.72637059377</v>
      </c>
      <c r="N182" s="12">
        <f t="shared" ca="1" si="165"/>
        <v>753630.16743520834</v>
      </c>
      <c r="O182" s="12">
        <f t="shared" ca="1" si="166"/>
        <v>838171.88964175258</v>
      </c>
      <c r="P182" s="12">
        <f t="shared" ca="1" si="167"/>
        <v>914061.91611406801</v>
      </c>
      <c r="Q182" s="12">
        <f t="shared" ca="1" si="168"/>
        <v>1104405.5372326367</v>
      </c>
      <c r="R182" s="12">
        <f t="shared" ca="1" si="169"/>
        <v>1271670.4271966529</v>
      </c>
      <c r="S182" s="12">
        <f t="shared" ca="1" si="170"/>
        <v>1446916.3135030833</v>
      </c>
      <c r="T182" s="12">
        <f t="shared" ca="1" si="171"/>
        <v>1573721.0320179842</v>
      </c>
      <c r="U182" s="12">
        <f t="shared" ca="1" si="172"/>
        <v>1886358.0223533555</v>
      </c>
      <c r="V182" s="12">
        <f t="shared" ca="1" si="173"/>
        <v>2003233.1165070615</v>
      </c>
      <c r="W182" s="12">
        <f t="shared" ca="1" si="174"/>
        <v>1963335.3778355063</v>
      </c>
      <c r="X182" s="12">
        <f t="shared" ca="1" si="175"/>
        <v>2054961.2134289565</v>
      </c>
      <c r="Y182" s="12">
        <f t="shared" ca="1" si="176"/>
        <v>2408159.1485552699</v>
      </c>
      <c r="Z182" s="12">
        <f t="shared" ca="1" si="177"/>
        <v>2882975.7778231408</v>
      </c>
      <c r="AA182" s="12">
        <f t="shared" ca="1" si="178"/>
        <v>3913383.7129560164</v>
      </c>
      <c r="AB182" s="12">
        <f t="shared" ca="1" si="179"/>
        <v>3539047.0184268565</v>
      </c>
      <c r="AC182" s="12">
        <f t="shared" ca="1" si="180"/>
        <v>3611441.7505164845</v>
      </c>
      <c r="AD182" s="12">
        <f t="shared" ca="1" si="181"/>
        <v>4087232.2642559549</v>
      </c>
      <c r="AE182" s="12">
        <f t="shared" ca="1" si="182"/>
        <v>4103578.5612537283</v>
      </c>
      <c r="AF182" s="12">
        <f t="shared" ca="1" si="183"/>
        <v>3797359.949885197</v>
      </c>
      <c r="AG182" s="12">
        <f t="shared" ca="1" si="184"/>
        <v>4268912.9257680159</v>
      </c>
      <c r="AH182" s="12">
        <f t="shared" ca="1" si="185"/>
        <v>4268912.9257680159</v>
      </c>
    </row>
    <row r="183" spans="2:34" x14ac:dyDescent="0.25">
      <c r="B183" s="6">
        <v>167</v>
      </c>
      <c r="D183" s="12">
        <f t="shared" ca="1" si="155"/>
        <v>176052.91820202247</v>
      </c>
      <c r="E183" s="12">
        <f t="shared" ca="1" si="156"/>
        <v>201411.87184022623</v>
      </c>
      <c r="F183" s="12">
        <f t="shared" ca="1" si="157"/>
        <v>218011.28538793584</v>
      </c>
      <c r="G183" s="12">
        <f t="shared" ca="1" si="158"/>
        <v>245134.44211329738</v>
      </c>
      <c r="H183" s="12">
        <f t="shared" ca="1" si="159"/>
        <v>263539.65413596336</v>
      </c>
      <c r="I183" s="12">
        <f t="shared" ca="1" si="160"/>
        <v>296640.53372561326</v>
      </c>
      <c r="J183" s="12">
        <f t="shared" ca="1" si="161"/>
        <v>331177.79574900825</v>
      </c>
      <c r="K183" s="12">
        <f t="shared" ca="1" si="162"/>
        <v>352998.07754249731</v>
      </c>
      <c r="L183" s="12">
        <f t="shared" ca="1" si="163"/>
        <v>402361.29549048614</v>
      </c>
      <c r="M183" s="12">
        <f t="shared" ca="1" si="164"/>
        <v>454163.81164522475</v>
      </c>
      <c r="N183" s="12">
        <f t="shared" ca="1" si="165"/>
        <v>436560.76624214125</v>
      </c>
      <c r="O183" s="12">
        <f t="shared" ca="1" si="166"/>
        <v>487803.91528018116</v>
      </c>
      <c r="P183" s="12">
        <f t="shared" ca="1" si="167"/>
        <v>577925.36380656599</v>
      </c>
      <c r="Q183" s="12">
        <f t="shared" ca="1" si="168"/>
        <v>547902.71039605967</v>
      </c>
      <c r="R183" s="12">
        <f t="shared" ca="1" si="169"/>
        <v>695928.87553559302</v>
      </c>
      <c r="S183" s="12">
        <f t="shared" ca="1" si="170"/>
        <v>712841.66489601915</v>
      </c>
      <c r="T183" s="12">
        <f t="shared" ca="1" si="171"/>
        <v>812812.42666351446</v>
      </c>
      <c r="U183" s="12">
        <f t="shared" ca="1" si="172"/>
        <v>990535.76358999335</v>
      </c>
      <c r="V183" s="12">
        <f t="shared" ca="1" si="173"/>
        <v>1076031.4925630847</v>
      </c>
      <c r="W183" s="12">
        <f t="shared" ca="1" si="174"/>
        <v>1277235.159367207</v>
      </c>
      <c r="X183" s="12">
        <f t="shared" ca="1" si="175"/>
        <v>1234027.9159850739</v>
      </c>
      <c r="Y183" s="12">
        <f t="shared" ca="1" si="176"/>
        <v>1167888.1066984034</v>
      </c>
      <c r="Z183" s="12">
        <f t="shared" ca="1" si="177"/>
        <v>1454486.9323536942</v>
      </c>
      <c r="AA183" s="12">
        <f t="shared" ca="1" si="178"/>
        <v>1315118.2218112948</v>
      </c>
      <c r="AB183" s="12">
        <f t="shared" ca="1" si="179"/>
        <v>1334449.7470508374</v>
      </c>
      <c r="AC183" s="12">
        <f t="shared" ca="1" si="180"/>
        <v>1566887.2039530927</v>
      </c>
      <c r="AD183" s="12">
        <f t="shared" ca="1" si="181"/>
        <v>1883493.2194905307</v>
      </c>
      <c r="AE183" s="12">
        <f t="shared" ca="1" si="182"/>
        <v>2093490.6097180042</v>
      </c>
      <c r="AF183" s="12">
        <f t="shared" ca="1" si="183"/>
        <v>2312962.2165541919</v>
      </c>
      <c r="AG183" s="12">
        <f t="shared" ca="1" si="184"/>
        <v>2611983.7616525032</v>
      </c>
      <c r="AH183" s="12">
        <f t="shared" ca="1" si="185"/>
        <v>2611983.7616525032</v>
      </c>
    </row>
    <row r="184" spans="2:34" x14ac:dyDescent="0.25">
      <c r="B184" s="6">
        <v>168</v>
      </c>
      <c r="D184" s="12">
        <f t="shared" ca="1" si="155"/>
        <v>178762.22764991826</v>
      </c>
      <c r="E184" s="12">
        <f t="shared" ca="1" si="156"/>
        <v>221806.72594705352</v>
      </c>
      <c r="F184" s="12">
        <f t="shared" ca="1" si="157"/>
        <v>226487.19487198844</v>
      </c>
      <c r="G184" s="12">
        <f t="shared" ca="1" si="158"/>
        <v>214572.46823423891</v>
      </c>
      <c r="H184" s="12">
        <f t="shared" ca="1" si="159"/>
        <v>203680.41273255865</v>
      </c>
      <c r="I184" s="12">
        <f t="shared" ca="1" si="160"/>
        <v>271690.30866988277</v>
      </c>
      <c r="J184" s="12">
        <f t="shared" ca="1" si="161"/>
        <v>302991.66927983216</v>
      </c>
      <c r="K184" s="12">
        <f t="shared" ca="1" si="162"/>
        <v>358507.13279681944</v>
      </c>
      <c r="L184" s="12">
        <f t="shared" ca="1" si="163"/>
        <v>413828.37741602759</v>
      </c>
      <c r="M184" s="12">
        <f t="shared" ca="1" si="164"/>
        <v>542405.64446276845</v>
      </c>
      <c r="N184" s="12">
        <f t="shared" ca="1" si="165"/>
        <v>525656.27214526583</v>
      </c>
      <c r="O184" s="12">
        <f t="shared" ca="1" si="166"/>
        <v>558444.5839108607</v>
      </c>
      <c r="P184" s="12">
        <f t="shared" ca="1" si="167"/>
        <v>681019.90145169129</v>
      </c>
      <c r="Q184" s="12">
        <f t="shared" ca="1" si="168"/>
        <v>627007.36036892375</v>
      </c>
      <c r="R184" s="12">
        <f t="shared" ca="1" si="169"/>
        <v>763554.59143980779</v>
      </c>
      <c r="S184" s="12">
        <f t="shared" ca="1" si="170"/>
        <v>869485.80484700098</v>
      </c>
      <c r="T184" s="12">
        <f t="shared" ca="1" si="171"/>
        <v>1216249.148134341</v>
      </c>
      <c r="U184" s="12">
        <f t="shared" ca="1" si="172"/>
        <v>1505953.9537133679</v>
      </c>
      <c r="V184" s="12">
        <f t="shared" ca="1" si="173"/>
        <v>1551697.8204722004</v>
      </c>
      <c r="W184" s="12">
        <f t="shared" ca="1" si="174"/>
        <v>1924786.8715983594</v>
      </c>
      <c r="X184" s="12">
        <f t="shared" ca="1" si="175"/>
        <v>2320443.7088728514</v>
      </c>
      <c r="Y184" s="12">
        <f t="shared" ca="1" si="176"/>
        <v>2582709.0415691873</v>
      </c>
      <c r="Z184" s="12">
        <f t="shared" ca="1" si="177"/>
        <v>2566463.0146542815</v>
      </c>
      <c r="AA184" s="12">
        <f t="shared" ca="1" si="178"/>
        <v>2401372.7507482776</v>
      </c>
      <c r="AB184" s="12">
        <f t="shared" ca="1" si="179"/>
        <v>2422053.1660294747</v>
      </c>
      <c r="AC184" s="12">
        <f t="shared" ca="1" si="180"/>
        <v>2260885.0386107778</v>
      </c>
      <c r="AD184" s="12">
        <f t="shared" ca="1" si="181"/>
        <v>2346121.4707543226</v>
      </c>
      <c r="AE184" s="12">
        <f t="shared" ca="1" si="182"/>
        <v>2130831.0756756882</v>
      </c>
      <c r="AF184" s="12">
        <f t="shared" ca="1" si="183"/>
        <v>2082326.7534430616</v>
      </c>
      <c r="AG184" s="12">
        <f t="shared" ca="1" si="184"/>
        <v>1976838.4114647678</v>
      </c>
      <c r="AH184" s="12">
        <f t="shared" ca="1" si="185"/>
        <v>1976838.4114647678</v>
      </c>
    </row>
    <row r="185" spans="2:34" x14ac:dyDescent="0.25">
      <c r="B185" s="6">
        <v>169</v>
      </c>
      <c r="D185" s="12">
        <f t="shared" ca="1" si="155"/>
        <v>215401.40324522692</v>
      </c>
      <c r="E185" s="12">
        <f t="shared" ca="1" si="156"/>
        <v>229618.15589125024</v>
      </c>
      <c r="F185" s="12">
        <f t="shared" ca="1" si="157"/>
        <v>257655.5248605166</v>
      </c>
      <c r="G185" s="12">
        <f t="shared" ca="1" si="158"/>
        <v>325218.87421842897</v>
      </c>
      <c r="H185" s="12">
        <f t="shared" ca="1" si="159"/>
        <v>289454.74826308945</v>
      </c>
      <c r="I185" s="12">
        <f t="shared" ca="1" si="160"/>
        <v>317539.47507312713</v>
      </c>
      <c r="J185" s="12">
        <f t="shared" ca="1" si="161"/>
        <v>403174.19240796875</v>
      </c>
      <c r="K185" s="12">
        <f t="shared" ca="1" si="162"/>
        <v>404182.92346305004</v>
      </c>
      <c r="L185" s="12">
        <f t="shared" ca="1" si="163"/>
        <v>453328.66617738112</v>
      </c>
      <c r="M185" s="12">
        <f t="shared" ca="1" si="164"/>
        <v>496713.22318978939</v>
      </c>
      <c r="N185" s="12">
        <f t="shared" ca="1" si="165"/>
        <v>456406.96604527626</v>
      </c>
      <c r="O185" s="12">
        <f t="shared" ca="1" si="166"/>
        <v>542689.60953908088</v>
      </c>
      <c r="P185" s="12">
        <f t="shared" ca="1" si="167"/>
        <v>595106.05415749538</v>
      </c>
      <c r="Q185" s="12">
        <f t="shared" ca="1" si="168"/>
        <v>730476.24098708166</v>
      </c>
      <c r="R185" s="12">
        <f t="shared" ca="1" si="169"/>
        <v>721941.71240497939</v>
      </c>
      <c r="S185" s="12">
        <f t="shared" ca="1" si="170"/>
        <v>752880.54616041982</v>
      </c>
      <c r="T185" s="12">
        <f t="shared" ca="1" si="171"/>
        <v>787504.78198036924</v>
      </c>
      <c r="U185" s="12">
        <f t="shared" ca="1" si="172"/>
        <v>783459.43548565509</v>
      </c>
      <c r="V185" s="12">
        <f t="shared" ca="1" si="173"/>
        <v>808141.24945235415</v>
      </c>
      <c r="W185" s="12">
        <f t="shared" ca="1" si="174"/>
        <v>922418.75291994691</v>
      </c>
      <c r="X185" s="12">
        <f t="shared" ca="1" si="175"/>
        <v>1005880.1915155723</v>
      </c>
      <c r="Y185" s="12">
        <f t="shared" ca="1" si="176"/>
        <v>1054676.5178590671</v>
      </c>
      <c r="Z185" s="12">
        <f t="shared" ca="1" si="177"/>
        <v>1061608.8712386375</v>
      </c>
      <c r="AA185" s="12">
        <f t="shared" ca="1" si="178"/>
        <v>1175742.533942769</v>
      </c>
      <c r="AB185" s="12">
        <f t="shared" ca="1" si="179"/>
        <v>1331388.6221047982</v>
      </c>
      <c r="AC185" s="12">
        <f t="shared" ca="1" si="180"/>
        <v>1367405.4635131999</v>
      </c>
      <c r="AD185" s="12">
        <f t="shared" ca="1" si="181"/>
        <v>1520559.0907055982</v>
      </c>
      <c r="AE185" s="12">
        <f t="shared" ca="1" si="182"/>
        <v>1578068.9130152564</v>
      </c>
      <c r="AF185" s="12">
        <f t="shared" ca="1" si="183"/>
        <v>1400195.3480816749</v>
      </c>
      <c r="AG185" s="12">
        <f t="shared" ca="1" si="184"/>
        <v>1579553.3365878914</v>
      </c>
      <c r="AH185" s="12">
        <f t="shared" ca="1" si="185"/>
        <v>1579553.3365878914</v>
      </c>
    </row>
    <row r="186" spans="2:34" x14ac:dyDescent="0.25">
      <c r="B186" s="6">
        <v>170</v>
      </c>
      <c r="D186" s="12">
        <f t="shared" ca="1" si="155"/>
        <v>193286.54680294241</v>
      </c>
      <c r="E186" s="12">
        <f t="shared" ca="1" si="156"/>
        <v>231756.18170646811</v>
      </c>
      <c r="F186" s="12">
        <f t="shared" ca="1" si="157"/>
        <v>268625.86360718322</v>
      </c>
      <c r="G186" s="12">
        <f t="shared" ca="1" si="158"/>
        <v>296705.86762569769</v>
      </c>
      <c r="H186" s="12">
        <f t="shared" ca="1" si="159"/>
        <v>341623.49014043907</v>
      </c>
      <c r="I186" s="12">
        <f t="shared" ca="1" si="160"/>
        <v>432160.81750636268</v>
      </c>
      <c r="J186" s="12">
        <f t="shared" ca="1" si="161"/>
        <v>559201.53240136069</v>
      </c>
      <c r="K186" s="12">
        <f t="shared" ca="1" si="162"/>
        <v>629571.37229759153</v>
      </c>
      <c r="L186" s="12">
        <f t="shared" ca="1" si="163"/>
        <v>723359.14837163605</v>
      </c>
      <c r="M186" s="12">
        <f t="shared" ca="1" si="164"/>
        <v>775200.03125448839</v>
      </c>
      <c r="N186" s="12">
        <f t="shared" ca="1" si="165"/>
        <v>752332.77613518236</v>
      </c>
      <c r="O186" s="12">
        <f t="shared" ca="1" si="166"/>
        <v>818859.83451190975</v>
      </c>
      <c r="P186" s="12">
        <f t="shared" ca="1" si="167"/>
        <v>865430.10789721122</v>
      </c>
      <c r="Q186" s="12">
        <f t="shared" ca="1" si="168"/>
        <v>901356.78211642383</v>
      </c>
      <c r="R186" s="12">
        <f t="shared" ca="1" si="169"/>
        <v>834899.24026808434</v>
      </c>
      <c r="S186" s="12">
        <f t="shared" ca="1" si="170"/>
        <v>942729.31125640462</v>
      </c>
      <c r="T186" s="12">
        <f t="shared" ca="1" si="171"/>
        <v>1092280.0837246142</v>
      </c>
      <c r="U186" s="12">
        <f t="shared" ca="1" si="172"/>
        <v>1165670.2880862362</v>
      </c>
      <c r="V186" s="12">
        <f t="shared" ca="1" si="173"/>
        <v>1362946.0927929406</v>
      </c>
      <c r="W186" s="12">
        <f t="shared" ca="1" si="174"/>
        <v>1624136.5079852892</v>
      </c>
      <c r="X186" s="12">
        <f t="shared" ca="1" si="175"/>
        <v>1652467.2377264898</v>
      </c>
      <c r="Y186" s="12">
        <f t="shared" ca="1" si="176"/>
        <v>1780854.3389892196</v>
      </c>
      <c r="Z186" s="12">
        <f t="shared" ca="1" si="177"/>
        <v>1783154.3883442807</v>
      </c>
      <c r="AA186" s="12">
        <f t="shared" ca="1" si="178"/>
        <v>2136816.2901251158</v>
      </c>
      <c r="AB186" s="12">
        <f t="shared" ca="1" si="179"/>
        <v>2476836.0082187527</v>
      </c>
      <c r="AC186" s="12">
        <f t="shared" ca="1" si="180"/>
        <v>2660153.5104285842</v>
      </c>
      <c r="AD186" s="12">
        <f t="shared" ca="1" si="181"/>
        <v>3268925.0313103702</v>
      </c>
      <c r="AE186" s="12">
        <f t="shared" ca="1" si="182"/>
        <v>3214231.2070729826</v>
      </c>
      <c r="AF186" s="12">
        <f t="shared" ca="1" si="183"/>
        <v>3675789.9604989253</v>
      </c>
      <c r="AG186" s="12">
        <f t="shared" ca="1" si="184"/>
        <v>3565159.6320703579</v>
      </c>
      <c r="AH186" s="12">
        <f t="shared" ca="1" si="185"/>
        <v>3565159.6320703579</v>
      </c>
    </row>
    <row r="187" spans="2:34" x14ac:dyDescent="0.25">
      <c r="B187" s="6">
        <v>171</v>
      </c>
      <c r="D187" s="12">
        <f t="shared" ca="1" si="155"/>
        <v>173962.03259140035</v>
      </c>
      <c r="E187" s="12">
        <f t="shared" ca="1" si="156"/>
        <v>187506.62603602692</v>
      </c>
      <c r="F187" s="12">
        <f t="shared" ca="1" si="157"/>
        <v>175177.21215440723</v>
      </c>
      <c r="G187" s="12">
        <f t="shared" ca="1" si="158"/>
        <v>249601.27326294678</v>
      </c>
      <c r="H187" s="12">
        <f t="shared" ca="1" si="159"/>
        <v>257011.12030392891</v>
      </c>
      <c r="I187" s="12">
        <f t="shared" ca="1" si="160"/>
        <v>309242.27171571116</v>
      </c>
      <c r="J187" s="12">
        <f t="shared" ca="1" si="161"/>
        <v>392695.79727536981</v>
      </c>
      <c r="K187" s="12">
        <f t="shared" ca="1" si="162"/>
        <v>407738.43631635088</v>
      </c>
      <c r="L187" s="12">
        <f t="shared" ca="1" si="163"/>
        <v>465964.42650324735</v>
      </c>
      <c r="M187" s="12">
        <f t="shared" ca="1" si="164"/>
        <v>601233.25321058603</v>
      </c>
      <c r="N187" s="12">
        <f t="shared" ca="1" si="165"/>
        <v>671568.74803081597</v>
      </c>
      <c r="O187" s="12">
        <f t="shared" ca="1" si="166"/>
        <v>624136.49229761865</v>
      </c>
      <c r="P187" s="12">
        <f t="shared" ca="1" si="167"/>
        <v>805703.67508169217</v>
      </c>
      <c r="Q187" s="12">
        <f t="shared" ca="1" si="168"/>
        <v>819089.95326640015</v>
      </c>
      <c r="R187" s="12">
        <f t="shared" ca="1" si="169"/>
        <v>932045.48596674087</v>
      </c>
      <c r="S187" s="12">
        <f t="shared" ca="1" si="170"/>
        <v>894963.52273243514</v>
      </c>
      <c r="T187" s="12">
        <f t="shared" ca="1" si="171"/>
        <v>939828.19891350344</v>
      </c>
      <c r="U187" s="12">
        <f t="shared" ca="1" si="172"/>
        <v>957066.44777324365</v>
      </c>
      <c r="V187" s="12">
        <f t="shared" ca="1" si="173"/>
        <v>710577.69347903458</v>
      </c>
      <c r="W187" s="12">
        <f t="shared" ca="1" si="174"/>
        <v>912941.19987320167</v>
      </c>
      <c r="X187" s="12">
        <f t="shared" ca="1" si="175"/>
        <v>1075224.1340445254</v>
      </c>
      <c r="Y187" s="12">
        <f t="shared" ca="1" si="176"/>
        <v>1338733.4556197678</v>
      </c>
      <c r="Z187" s="12">
        <f t="shared" ca="1" si="177"/>
        <v>1560259.2391399951</v>
      </c>
      <c r="AA187" s="12">
        <f t="shared" ca="1" si="178"/>
        <v>1615182.7283551355</v>
      </c>
      <c r="AB187" s="12">
        <f t="shared" ca="1" si="179"/>
        <v>1788920.9758565463</v>
      </c>
      <c r="AC187" s="12">
        <f t="shared" ca="1" si="180"/>
        <v>1997345.5843360645</v>
      </c>
      <c r="AD187" s="12">
        <f t="shared" ca="1" si="181"/>
        <v>2377329.4465089603</v>
      </c>
      <c r="AE187" s="12">
        <f t="shared" ca="1" si="182"/>
        <v>2402335.9884712901</v>
      </c>
      <c r="AF187" s="12">
        <f t="shared" ca="1" si="183"/>
        <v>2644773.1624012119</v>
      </c>
      <c r="AG187" s="12">
        <f t="shared" ca="1" si="184"/>
        <v>3205003.767281088</v>
      </c>
      <c r="AH187" s="12">
        <f t="shared" ca="1" si="185"/>
        <v>3205003.767281088</v>
      </c>
    </row>
    <row r="188" spans="2:34" x14ac:dyDescent="0.25">
      <c r="B188" s="6">
        <v>172</v>
      </c>
      <c r="D188" s="12">
        <f t="shared" ca="1" si="155"/>
        <v>175903.3126210566</v>
      </c>
      <c r="E188" s="12">
        <f t="shared" ca="1" si="156"/>
        <v>221036.12377579097</v>
      </c>
      <c r="F188" s="12">
        <f t="shared" ca="1" si="157"/>
        <v>247348.31148949682</v>
      </c>
      <c r="G188" s="12">
        <f t="shared" ca="1" si="158"/>
        <v>246094.08552505943</v>
      </c>
      <c r="H188" s="12">
        <f t="shared" ca="1" si="159"/>
        <v>260935.09189614689</v>
      </c>
      <c r="I188" s="12">
        <f t="shared" ca="1" si="160"/>
        <v>307139.08850609959</v>
      </c>
      <c r="J188" s="12">
        <f t="shared" ca="1" si="161"/>
        <v>304477.77732854342</v>
      </c>
      <c r="K188" s="12">
        <f t="shared" ca="1" si="162"/>
        <v>386333.31485393189</v>
      </c>
      <c r="L188" s="12">
        <f t="shared" ca="1" si="163"/>
        <v>511405.6337028105</v>
      </c>
      <c r="M188" s="12">
        <f t="shared" ca="1" si="164"/>
        <v>610556.31439889886</v>
      </c>
      <c r="N188" s="12">
        <f t="shared" ca="1" si="165"/>
        <v>690071.04936671746</v>
      </c>
      <c r="O188" s="12">
        <f t="shared" ca="1" si="166"/>
        <v>693128.59544955217</v>
      </c>
      <c r="P188" s="12">
        <f t="shared" ca="1" si="167"/>
        <v>766921.0090944129</v>
      </c>
      <c r="Q188" s="12">
        <f t="shared" ca="1" si="168"/>
        <v>704874.52285462932</v>
      </c>
      <c r="R188" s="12">
        <f t="shared" ca="1" si="169"/>
        <v>817117.57639089064</v>
      </c>
      <c r="S188" s="12">
        <f t="shared" ca="1" si="170"/>
        <v>745057.56980134011</v>
      </c>
      <c r="T188" s="12">
        <f t="shared" ca="1" si="171"/>
        <v>840166.69304197468</v>
      </c>
      <c r="U188" s="12">
        <f t="shared" ca="1" si="172"/>
        <v>967505.01613581122</v>
      </c>
      <c r="V188" s="12">
        <f t="shared" ca="1" si="173"/>
        <v>1131466.3327165926</v>
      </c>
      <c r="W188" s="12">
        <f t="shared" ca="1" si="174"/>
        <v>1260763.6891183746</v>
      </c>
      <c r="X188" s="12">
        <f t="shared" ca="1" si="175"/>
        <v>1302052.1695455029</v>
      </c>
      <c r="Y188" s="12">
        <f t="shared" ca="1" si="176"/>
        <v>1389113.7655357288</v>
      </c>
      <c r="Z188" s="12">
        <f t="shared" ca="1" si="177"/>
        <v>1426140.2592483505</v>
      </c>
      <c r="AA188" s="12">
        <f t="shared" ca="1" si="178"/>
        <v>1704177.6255666516</v>
      </c>
      <c r="AB188" s="12">
        <f t="shared" ca="1" si="179"/>
        <v>1711946.5059096869</v>
      </c>
      <c r="AC188" s="12">
        <f t="shared" ca="1" si="180"/>
        <v>1905948.3155001539</v>
      </c>
      <c r="AD188" s="12">
        <f t="shared" ca="1" si="181"/>
        <v>2239076.0136425458</v>
      </c>
      <c r="AE188" s="12">
        <f t="shared" ca="1" si="182"/>
        <v>2362955.387111092</v>
      </c>
      <c r="AF188" s="12">
        <f t="shared" ca="1" si="183"/>
        <v>2618801.3490331722</v>
      </c>
      <c r="AG188" s="12">
        <f t="shared" ca="1" si="184"/>
        <v>2482569.6473277602</v>
      </c>
      <c r="AH188" s="12">
        <f t="shared" ca="1" si="185"/>
        <v>2482569.6473277602</v>
      </c>
    </row>
    <row r="189" spans="2:34" x14ac:dyDescent="0.25">
      <c r="B189" s="6">
        <v>173</v>
      </c>
      <c r="D189" s="12">
        <f t="shared" ca="1" si="155"/>
        <v>195650.95049513908</v>
      </c>
      <c r="E189" s="12">
        <f t="shared" ca="1" si="156"/>
        <v>267127.79994104936</v>
      </c>
      <c r="F189" s="12">
        <f t="shared" ca="1" si="157"/>
        <v>293880.17791010928</v>
      </c>
      <c r="G189" s="12">
        <f t="shared" ca="1" si="158"/>
        <v>351477.56268271391</v>
      </c>
      <c r="H189" s="12">
        <f t="shared" ca="1" si="159"/>
        <v>388674.76832489233</v>
      </c>
      <c r="I189" s="12">
        <f t="shared" ca="1" si="160"/>
        <v>404545.59276526113</v>
      </c>
      <c r="J189" s="12">
        <f t="shared" ca="1" si="161"/>
        <v>503870.87175862677</v>
      </c>
      <c r="K189" s="12">
        <f t="shared" ca="1" si="162"/>
        <v>534179.94028250233</v>
      </c>
      <c r="L189" s="12">
        <f t="shared" ca="1" si="163"/>
        <v>679917.64257160737</v>
      </c>
      <c r="M189" s="12">
        <f t="shared" ca="1" si="164"/>
        <v>716024.11846477212</v>
      </c>
      <c r="N189" s="12">
        <f t="shared" ca="1" si="165"/>
        <v>779888.73016414512</v>
      </c>
      <c r="O189" s="12">
        <f t="shared" ca="1" si="166"/>
        <v>793689.23423788743</v>
      </c>
      <c r="P189" s="12">
        <f t="shared" ca="1" si="167"/>
        <v>921891.20595806395</v>
      </c>
      <c r="Q189" s="12">
        <f t="shared" ca="1" si="168"/>
        <v>1066124.900168865</v>
      </c>
      <c r="R189" s="12">
        <f t="shared" ca="1" si="169"/>
        <v>1296277.940588431</v>
      </c>
      <c r="S189" s="12">
        <f t="shared" ca="1" si="170"/>
        <v>1390499.7297881094</v>
      </c>
      <c r="T189" s="12">
        <f t="shared" ca="1" si="171"/>
        <v>1449914.208731903</v>
      </c>
      <c r="U189" s="12">
        <f t="shared" ca="1" si="172"/>
        <v>1445451.8722343151</v>
      </c>
      <c r="V189" s="12">
        <f t="shared" ca="1" si="173"/>
        <v>1577088.7256643465</v>
      </c>
      <c r="W189" s="12">
        <f t="shared" ca="1" si="174"/>
        <v>1549054.3044799615</v>
      </c>
      <c r="X189" s="12">
        <f t="shared" ca="1" si="175"/>
        <v>1678462.8612837156</v>
      </c>
      <c r="Y189" s="12">
        <f t="shared" ca="1" si="176"/>
        <v>1792871.7333209014</v>
      </c>
      <c r="Z189" s="12">
        <f t="shared" ca="1" si="177"/>
        <v>1768023.3509243396</v>
      </c>
      <c r="AA189" s="12">
        <f t="shared" ca="1" si="178"/>
        <v>1692682.5964967639</v>
      </c>
      <c r="AB189" s="12">
        <f t="shared" ca="1" si="179"/>
        <v>2286810.81290315</v>
      </c>
      <c r="AC189" s="12">
        <f t="shared" ca="1" si="180"/>
        <v>2447583.495584758</v>
      </c>
      <c r="AD189" s="12">
        <f t="shared" ca="1" si="181"/>
        <v>2551868.362417317</v>
      </c>
      <c r="AE189" s="12">
        <f t="shared" ca="1" si="182"/>
        <v>3081048.4130047555</v>
      </c>
      <c r="AF189" s="12">
        <f t="shared" ca="1" si="183"/>
        <v>3564897.8231874062</v>
      </c>
      <c r="AG189" s="12">
        <f t="shared" ca="1" si="184"/>
        <v>3467645.0656324322</v>
      </c>
      <c r="AH189" s="12">
        <f t="shared" ca="1" si="185"/>
        <v>3467645.0656324322</v>
      </c>
    </row>
    <row r="190" spans="2:34" x14ac:dyDescent="0.25">
      <c r="B190" s="6">
        <v>174</v>
      </c>
      <c r="D190" s="12">
        <f t="shared" ca="1" si="155"/>
        <v>192466.53897394412</v>
      </c>
      <c r="E190" s="12">
        <f t="shared" ca="1" si="156"/>
        <v>250685.2550278352</v>
      </c>
      <c r="F190" s="12">
        <f t="shared" ca="1" si="157"/>
        <v>246265.02274528242</v>
      </c>
      <c r="G190" s="12">
        <f t="shared" ca="1" si="158"/>
        <v>258531.67824562013</v>
      </c>
      <c r="H190" s="12">
        <f t="shared" ca="1" si="159"/>
        <v>282217.90093624522</v>
      </c>
      <c r="I190" s="12">
        <f t="shared" ca="1" si="160"/>
        <v>298362.58029303059</v>
      </c>
      <c r="J190" s="12">
        <f t="shared" ca="1" si="161"/>
        <v>326720.13299546548</v>
      </c>
      <c r="K190" s="12">
        <f t="shared" ca="1" si="162"/>
        <v>361664.47324957105</v>
      </c>
      <c r="L190" s="12">
        <f t="shared" ca="1" si="163"/>
        <v>403896.55119374604</v>
      </c>
      <c r="M190" s="12">
        <f t="shared" ca="1" si="164"/>
        <v>394989.57584495307</v>
      </c>
      <c r="N190" s="12">
        <f t="shared" ca="1" si="165"/>
        <v>522202.86245934595</v>
      </c>
      <c r="O190" s="12">
        <f t="shared" ca="1" si="166"/>
        <v>598860.56593586178</v>
      </c>
      <c r="P190" s="12">
        <f t="shared" ca="1" si="167"/>
        <v>573752.29452057532</v>
      </c>
      <c r="Q190" s="12">
        <f t="shared" ca="1" si="168"/>
        <v>592120.81505722227</v>
      </c>
      <c r="R190" s="12">
        <f t="shared" ca="1" si="169"/>
        <v>519500.46853940724</v>
      </c>
      <c r="S190" s="12">
        <f t="shared" ca="1" si="170"/>
        <v>686092.69154286524</v>
      </c>
      <c r="T190" s="12">
        <f t="shared" ca="1" si="171"/>
        <v>829919.81503766438</v>
      </c>
      <c r="U190" s="12">
        <f t="shared" ca="1" si="172"/>
        <v>832283.77357230417</v>
      </c>
      <c r="V190" s="12">
        <f t="shared" ca="1" si="173"/>
        <v>768411.8974756517</v>
      </c>
      <c r="W190" s="12">
        <f t="shared" ca="1" si="174"/>
        <v>778228.98527994019</v>
      </c>
      <c r="X190" s="12">
        <f t="shared" ca="1" si="175"/>
        <v>844998.20468330733</v>
      </c>
      <c r="Y190" s="12">
        <f t="shared" ca="1" si="176"/>
        <v>929309.00552764116</v>
      </c>
      <c r="Z190" s="12">
        <f t="shared" ca="1" si="177"/>
        <v>791333.88469122304</v>
      </c>
      <c r="AA190" s="12">
        <f t="shared" ca="1" si="178"/>
        <v>1085568.5210340251</v>
      </c>
      <c r="AB190" s="12">
        <f t="shared" ca="1" si="179"/>
        <v>1479473.9343632143</v>
      </c>
      <c r="AC190" s="12">
        <f t="shared" ca="1" si="180"/>
        <v>1433306.1387476882</v>
      </c>
      <c r="AD190" s="12">
        <f t="shared" ca="1" si="181"/>
        <v>1514848.9737303986</v>
      </c>
      <c r="AE190" s="12">
        <f t="shared" ca="1" si="182"/>
        <v>1578586.8725290145</v>
      </c>
      <c r="AF190" s="12">
        <f t="shared" ca="1" si="183"/>
        <v>1731698.336724597</v>
      </c>
      <c r="AG190" s="12">
        <f t="shared" ca="1" si="184"/>
        <v>2145749.887858408</v>
      </c>
      <c r="AH190" s="12">
        <f t="shared" ca="1" si="185"/>
        <v>2145749.887858408</v>
      </c>
    </row>
    <row r="191" spans="2:34" x14ac:dyDescent="0.25">
      <c r="B191" s="6">
        <v>175</v>
      </c>
      <c r="D191" s="12">
        <f t="shared" ca="1" si="155"/>
        <v>201352.61052638831</v>
      </c>
      <c r="E191" s="12">
        <f t="shared" ca="1" si="156"/>
        <v>240625.32827314408</v>
      </c>
      <c r="F191" s="12">
        <f t="shared" ca="1" si="157"/>
        <v>314269.44898172439</v>
      </c>
      <c r="G191" s="12">
        <f t="shared" ca="1" si="158"/>
        <v>354940.28219774674</v>
      </c>
      <c r="H191" s="12">
        <f t="shared" ca="1" si="159"/>
        <v>396429.39747117768</v>
      </c>
      <c r="I191" s="12">
        <f t="shared" ca="1" si="160"/>
        <v>511030.12255003024</v>
      </c>
      <c r="J191" s="12">
        <f t="shared" ca="1" si="161"/>
        <v>568953.64725551696</v>
      </c>
      <c r="K191" s="12">
        <f t="shared" ca="1" si="162"/>
        <v>657537.8300998552</v>
      </c>
      <c r="L191" s="12">
        <f t="shared" ca="1" si="163"/>
        <v>744852.05981483893</v>
      </c>
      <c r="M191" s="12">
        <f t="shared" ca="1" si="164"/>
        <v>808755.62020069826</v>
      </c>
      <c r="N191" s="12">
        <f t="shared" ca="1" si="165"/>
        <v>776649.1721863175</v>
      </c>
      <c r="O191" s="12">
        <f t="shared" ca="1" si="166"/>
        <v>666829.70533823245</v>
      </c>
      <c r="P191" s="12">
        <f t="shared" ca="1" si="167"/>
        <v>782529.13481111883</v>
      </c>
      <c r="Q191" s="12">
        <f t="shared" ca="1" si="168"/>
        <v>839862.00713987532</v>
      </c>
      <c r="R191" s="12">
        <f t="shared" ca="1" si="169"/>
        <v>926644.17716709676</v>
      </c>
      <c r="S191" s="12">
        <f t="shared" ca="1" si="170"/>
        <v>852124.9696364738</v>
      </c>
      <c r="T191" s="12">
        <f t="shared" ca="1" si="171"/>
        <v>945117.34323470399</v>
      </c>
      <c r="U191" s="12">
        <f t="shared" ca="1" si="172"/>
        <v>1092857.6945730851</v>
      </c>
      <c r="V191" s="12">
        <f t="shared" ca="1" si="173"/>
        <v>1316935.2861130612</v>
      </c>
      <c r="W191" s="12">
        <f t="shared" ca="1" si="174"/>
        <v>1406324.1260741337</v>
      </c>
      <c r="X191" s="12">
        <f t="shared" ca="1" si="175"/>
        <v>1811327.2896285255</v>
      </c>
      <c r="Y191" s="12">
        <f t="shared" ca="1" si="176"/>
        <v>2000288.0318338855</v>
      </c>
      <c r="Z191" s="12">
        <f t="shared" ca="1" si="177"/>
        <v>2261180.1429977985</v>
      </c>
      <c r="AA191" s="12">
        <f t="shared" ca="1" si="178"/>
        <v>2352481.8580367295</v>
      </c>
      <c r="AB191" s="12">
        <f t="shared" ca="1" si="179"/>
        <v>2344031.4875442451</v>
      </c>
      <c r="AC191" s="12">
        <f t="shared" ca="1" si="180"/>
        <v>2890658.8731299751</v>
      </c>
      <c r="AD191" s="12">
        <f t="shared" ca="1" si="181"/>
        <v>2836855.7061294387</v>
      </c>
      <c r="AE191" s="12">
        <f t="shared" ca="1" si="182"/>
        <v>2873226.5611770423</v>
      </c>
      <c r="AF191" s="12">
        <f t="shared" ca="1" si="183"/>
        <v>3170826.7981246421</v>
      </c>
      <c r="AG191" s="12">
        <f t="shared" ca="1" si="184"/>
        <v>3826143.7146201306</v>
      </c>
      <c r="AH191" s="12">
        <f t="shared" ca="1" si="185"/>
        <v>3826143.7146201306</v>
      </c>
    </row>
    <row r="192" spans="2:34" x14ac:dyDescent="0.25">
      <c r="B192" s="6">
        <v>176</v>
      </c>
      <c r="D192" s="12">
        <f t="shared" ca="1" si="155"/>
        <v>196863.36825441025</v>
      </c>
      <c r="E192" s="12">
        <f t="shared" ca="1" si="156"/>
        <v>190944.39606572577</v>
      </c>
      <c r="F192" s="12">
        <f t="shared" ca="1" si="157"/>
        <v>231664.01853245115</v>
      </c>
      <c r="G192" s="12">
        <f t="shared" ca="1" si="158"/>
        <v>246416.74625408088</v>
      </c>
      <c r="H192" s="12">
        <f t="shared" ca="1" si="159"/>
        <v>238523.18577070429</v>
      </c>
      <c r="I192" s="12">
        <f t="shared" ca="1" si="160"/>
        <v>236439.08610921528</v>
      </c>
      <c r="J192" s="12">
        <f t="shared" ca="1" si="161"/>
        <v>254674.5317714469</v>
      </c>
      <c r="K192" s="12">
        <f t="shared" ca="1" si="162"/>
        <v>302797.34828120668</v>
      </c>
      <c r="L192" s="12">
        <f t="shared" ca="1" si="163"/>
        <v>321782.31153360655</v>
      </c>
      <c r="M192" s="12">
        <f t="shared" ca="1" si="164"/>
        <v>413778.90782480809</v>
      </c>
      <c r="N192" s="12">
        <f t="shared" ca="1" si="165"/>
        <v>534596.88344041677</v>
      </c>
      <c r="O192" s="12">
        <f t="shared" ca="1" si="166"/>
        <v>581061.72903288912</v>
      </c>
      <c r="P192" s="12">
        <f t="shared" ca="1" si="167"/>
        <v>603518.31005760375</v>
      </c>
      <c r="Q192" s="12">
        <f t="shared" ca="1" si="168"/>
        <v>649159.4330254636</v>
      </c>
      <c r="R192" s="12">
        <f t="shared" ca="1" si="169"/>
        <v>756633.19745649921</v>
      </c>
      <c r="S192" s="12">
        <f t="shared" ca="1" si="170"/>
        <v>573507.1217128362</v>
      </c>
      <c r="T192" s="12">
        <f t="shared" ca="1" si="171"/>
        <v>692915.11783983372</v>
      </c>
      <c r="U192" s="12">
        <f t="shared" ca="1" si="172"/>
        <v>791010.29707838094</v>
      </c>
      <c r="V192" s="12">
        <f t="shared" ca="1" si="173"/>
        <v>722362.97456074739</v>
      </c>
      <c r="W192" s="12">
        <f t="shared" ca="1" si="174"/>
        <v>861910.03376810974</v>
      </c>
      <c r="X192" s="12">
        <f t="shared" ca="1" si="175"/>
        <v>896716.76605770818</v>
      </c>
      <c r="Y192" s="12">
        <f t="shared" ca="1" si="176"/>
        <v>797348.31109567685</v>
      </c>
      <c r="Z192" s="12">
        <f t="shared" ca="1" si="177"/>
        <v>761139.74466694181</v>
      </c>
      <c r="AA192" s="12">
        <f t="shared" ca="1" si="178"/>
        <v>781745.41408621287</v>
      </c>
      <c r="AB192" s="12">
        <f t="shared" ca="1" si="179"/>
        <v>926499.93503439939</v>
      </c>
      <c r="AC192" s="12">
        <f t="shared" ca="1" si="180"/>
        <v>1092076.5472153027</v>
      </c>
      <c r="AD192" s="12">
        <f t="shared" ca="1" si="181"/>
        <v>958428.34615667933</v>
      </c>
      <c r="AE192" s="12">
        <f t="shared" ca="1" si="182"/>
        <v>1161823.2973164411</v>
      </c>
      <c r="AF192" s="12">
        <f t="shared" ca="1" si="183"/>
        <v>1255861.2378805019</v>
      </c>
      <c r="AG192" s="12">
        <f t="shared" ca="1" si="184"/>
        <v>1172690.7624411848</v>
      </c>
      <c r="AH192" s="12">
        <f t="shared" ca="1" si="185"/>
        <v>1172690.7624411848</v>
      </c>
    </row>
    <row r="193" spans="2:34" x14ac:dyDescent="0.25">
      <c r="B193" s="6">
        <v>177</v>
      </c>
      <c r="D193" s="12">
        <f t="shared" ca="1" si="155"/>
        <v>186036.1500828976</v>
      </c>
      <c r="E193" s="12">
        <f t="shared" ca="1" si="156"/>
        <v>222098.66834895371</v>
      </c>
      <c r="F193" s="12">
        <f t="shared" ca="1" si="157"/>
        <v>242863.5051405346</v>
      </c>
      <c r="G193" s="12">
        <f t="shared" ca="1" si="158"/>
        <v>318050.98747150617</v>
      </c>
      <c r="H193" s="12">
        <f t="shared" ca="1" si="159"/>
        <v>383790.0760960831</v>
      </c>
      <c r="I193" s="12">
        <f t="shared" ca="1" si="160"/>
        <v>368997.4859715919</v>
      </c>
      <c r="J193" s="12">
        <f t="shared" ca="1" si="161"/>
        <v>456646.21106850874</v>
      </c>
      <c r="K193" s="12">
        <f t="shared" ca="1" si="162"/>
        <v>567402.28880834405</v>
      </c>
      <c r="L193" s="12">
        <f t="shared" ca="1" si="163"/>
        <v>654279.13610974222</v>
      </c>
      <c r="M193" s="12">
        <f t="shared" ca="1" si="164"/>
        <v>868841.43877906248</v>
      </c>
      <c r="N193" s="12">
        <f t="shared" ca="1" si="165"/>
        <v>1040128.0608941376</v>
      </c>
      <c r="O193" s="12">
        <f t="shared" ca="1" si="166"/>
        <v>1258135.6334752408</v>
      </c>
      <c r="P193" s="12">
        <f t="shared" ca="1" si="167"/>
        <v>1640903.723134821</v>
      </c>
      <c r="Q193" s="12">
        <f t="shared" ca="1" si="168"/>
        <v>1862324.201573563</v>
      </c>
      <c r="R193" s="12">
        <f t="shared" ca="1" si="169"/>
        <v>1875707.2088647406</v>
      </c>
      <c r="S193" s="12">
        <f t="shared" ca="1" si="170"/>
        <v>2110283.2913741595</v>
      </c>
      <c r="T193" s="12">
        <f t="shared" ca="1" si="171"/>
        <v>2073855.5918963838</v>
      </c>
      <c r="U193" s="12">
        <f t="shared" ca="1" si="172"/>
        <v>2251092.924427106</v>
      </c>
      <c r="V193" s="12">
        <f t="shared" ca="1" si="173"/>
        <v>1942587.941627204</v>
      </c>
      <c r="W193" s="12">
        <f t="shared" ca="1" si="174"/>
        <v>2412373.0486591337</v>
      </c>
      <c r="X193" s="12">
        <f t="shared" ca="1" si="175"/>
        <v>2411273.2071286123</v>
      </c>
      <c r="Y193" s="12">
        <f t="shared" ca="1" si="176"/>
        <v>2582973.6350539243</v>
      </c>
      <c r="Z193" s="12">
        <f t="shared" ca="1" si="177"/>
        <v>2780753.7087361738</v>
      </c>
      <c r="AA193" s="12">
        <f t="shared" ca="1" si="178"/>
        <v>3106300.0222901041</v>
      </c>
      <c r="AB193" s="12">
        <f t="shared" ca="1" si="179"/>
        <v>2761279.2370753242</v>
      </c>
      <c r="AC193" s="12">
        <f t="shared" ca="1" si="180"/>
        <v>2574556.8228328465</v>
      </c>
      <c r="AD193" s="12">
        <f t="shared" ca="1" si="181"/>
        <v>2965550.0715687438</v>
      </c>
      <c r="AE193" s="12">
        <f t="shared" ca="1" si="182"/>
        <v>3729453.743612132</v>
      </c>
      <c r="AF193" s="12">
        <f t="shared" ca="1" si="183"/>
        <v>4160903.6569789769</v>
      </c>
      <c r="AG193" s="12">
        <f t="shared" ca="1" si="184"/>
        <v>4059179.6046040421</v>
      </c>
      <c r="AH193" s="12">
        <f t="shared" ca="1" si="185"/>
        <v>4059179.6046040421</v>
      </c>
    </row>
    <row r="194" spans="2:34" x14ac:dyDescent="0.25">
      <c r="B194" s="6">
        <v>178</v>
      </c>
      <c r="D194" s="12">
        <f t="shared" ca="1" si="155"/>
        <v>153011.28025624371</v>
      </c>
      <c r="E194" s="12">
        <f t="shared" ca="1" si="156"/>
        <v>141546.59268583934</v>
      </c>
      <c r="F194" s="12">
        <f t="shared" ca="1" si="157"/>
        <v>156227.47136829011</v>
      </c>
      <c r="G194" s="12">
        <f t="shared" ca="1" si="158"/>
        <v>189455.21194549542</v>
      </c>
      <c r="H194" s="12">
        <f t="shared" ca="1" si="159"/>
        <v>223882.5508268066</v>
      </c>
      <c r="I194" s="12">
        <f t="shared" ca="1" si="160"/>
        <v>237904.65940544111</v>
      </c>
      <c r="J194" s="12">
        <f t="shared" ca="1" si="161"/>
        <v>273359.7370365989</v>
      </c>
      <c r="K194" s="12">
        <f t="shared" ca="1" si="162"/>
        <v>340569.27784044424</v>
      </c>
      <c r="L194" s="12">
        <f t="shared" ca="1" si="163"/>
        <v>391915.26057087723</v>
      </c>
      <c r="M194" s="12">
        <f t="shared" ca="1" si="164"/>
        <v>433458.32230991562</v>
      </c>
      <c r="N194" s="12">
        <f t="shared" ca="1" si="165"/>
        <v>527216.03897787712</v>
      </c>
      <c r="O194" s="12">
        <f t="shared" ca="1" si="166"/>
        <v>569647.51707642409</v>
      </c>
      <c r="P194" s="12">
        <f t="shared" ca="1" si="167"/>
        <v>738151.88267201034</v>
      </c>
      <c r="Q194" s="12">
        <f t="shared" ca="1" si="168"/>
        <v>859788.8724860783</v>
      </c>
      <c r="R194" s="12">
        <f t="shared" ca="1" si="169"/>
        <v>980015.96806987573</v>
      </c>
      <c r="S194" s="12">
        <f t="shared" ca="1" si="170"/>
        <v>940385.58282049594</v>
      </c>
      <c r="T194" s="12">
        <f t="shared" ca="1" si="171"/>
        <v>1060052.1684658257</v>
      </c>
      <c r="U194" s="12">
        <f t="shared" ca="1" si="172"/>
        <v>1192950.7568034327</v>
      </c>
      <c r="V194" s="12">
        <f t="shared" ca="1" si="173"/>
        <v>1365130.5991089703</v>
      </c>
      <c r="W194" s="12">
        <f t="shared" ca="1" si="174"/>
        <v>1466950.8103423615</v>
      </c>
      <c r="X194" s="12">
        <f t="shared" ca="1" si="175"/>
        <v>1370595.142097092</v>
      </c>
      <c r="Y194" s="12">
        <f t="shared" ca="1" si="176"/>
        <v>1372093.1507085171</v>
      </c>
      <c r="Z194" s="12">
        <f t="shared" ca="1" si="177"/>
        <v>1371584.0170475184</v>
      </c>
      <c r="AA194" s="12">
        <f t="shared" ca="1" si="178"/>
        <v>1357540.6739643682</v>
      </c>
      <c r="AB194" s="12">
        <f t="shared" ca="1" si="179"/>
        <v>1314022.7964385247</v>
      </c>
      <c r="AC194" s="12">
        <f t="shared" ca="1" si="180"/>
        <v>1446147.5390396344</v>
      </c>
      <c r="AD194" s="12">
        <f t="shared" ca="1" si="181"/>
        <v>1569586.9719819149</v>
      </c>
      <c r="AE194" s="12">
        <f t="shared" ca="1" si="182"/>
        <v>1659578.4795823302</v>
      </c>
      <c r="AF194" s="12">
        <f t="shared" ca="1" si="183"/>
        <v>1955036.0461733118</v>
      </c>
      <c r="AG194" s="12">
        <f t="shared" ca="1" si="184"/>
        <v>2018156.9751924337</v>
      </c>
      <c r="AH194" s="12">
        <f t="shared" ca="1" si="185"/>
        <v>2018156.9751924337</v>
      </c>
    </row>
    <row r="195" spans="2:34" x14ac:dyDescent="0.25">
      <c r="B195" s="6">
        <v>179</v>
      </c>
      <c r="D195" s="12">
        <f t="shared" ca="1" si="155"/>
        <v>169844.07022171805</v>
      </c>
      <c r="E195" s="12">
        <f t="shared" ca="1" si="156"/>
        <v>222717.8052517536</v>
      </c>
      <c r="F195" s="12">
        <f t="shared" ca="1" si="157"/>
        <v>255368.74951208421</v>
      </c>
      <c r="G195" s="12">
        <f t="shared" ca="1" si="158"/>
        <v>282770.61429835932</v>
      </c>
      <c r="H195" s="12">
        <f t="shared" ca="1" si="159"/>
        <v>387615.53422961332</v>
      </c>
      <c r="I195" s="12">
        <f t="shared" ca="1" si="160"/>
        <v>395021.48308217817</v>
      </c>
      <c r="J195" s="12">
        <f t="shared" ca="1" si="161"/>
        <v>309741.46075511113</v>
      </c>
      <c r="K195" s="12">
        <f t="shared" ca="1" si="162"/>
        <v>350518.83542761882</v>
      </c>
      <c r="L195" s="12">
        <f t="shared" ca="1" si="163"/>
        <v>379681.04958746379</v>
      </c>
      <c r="M195" s="12">
        <f t="shared" ca="1" si="164"/>
        <v>361967.2889057055</v>
      </c>
      <c r="N195" s="12">
        <f t="shared" ca="1" si="165"/>
        <v>438767.9111220584</v>
      </c>
      <c r="O195" s="12">
        <f t="shared" ca="1" si="166"/>
        <v>559268.7978824703</v>
      </c>
      <c r="P195" s="12">
        <f t="shared" ca="1" si="167"/>
        <v>584190.96164968004</v>
      </c>
      <c r="Q195" s="12">
        <f t="shared" ca="1" si="168"/>
        <v>589625.33574031561</v>
      </c>
      <c r="R195" s="12">
        <f t="shared" ca="1" si="169"/>
        <v>601884.37825366668</v>
      </c>
      <c r="S195" s="12">
        <f t="shared" ca="1" si="170"/>
        <v>571420.78559002571</v>
      </c>
      <c r="T195" s="12">
        <f t="shared" ca="1" si="171"/>
        <v>659184.59036808182</v>
      </c>
      <c r="U195" s="12">
        <f t="shared" ca="1" si="172"/>
        <v>764678.59038474318</v>
      </c>
      <c r="V195" s="12">
        <f t="shared" ca="1" si="173"/>
        <v>945491.47165738256</v>
      </c>
      <c r="W195" s="12">
        <f t="shared" ca="1" si="174"/>
        <v>968557.90494320635</v>
      </c>
      <c r="X195" s="12">
        <f t="shared" ca="1" si="175"/>
        <v>867574.48349878797</v>
      </c>
      <c r="Y195" s="12">
        <f t="shared" ca="1" si="176"/>
        <v>868997.85609541624</v>
      </c>
      <c r="Z195" s="12">
        <f t="shared" ca="1" si="177"/>
        <v>929768.75944746716</v>
      </c>
      <c r="AA195" s="12">
        <f t="shared" ca="1" si="178"/>
        <v>1089375.2894047033</v>
      </c>
      <c r="AB195" s="12">
        <f t="shared" ca="1" si="179"/>
        <v>1184582.760098197</v>
      </c>
      <c r="AC195" s="12">
        <f t="shared" ca="1" si="180"/>
        <v>1316991.4677548057</v>
      </c>
      <c r="AD195" s="12">
        <f t="shared" ca="1" si="181"/>
        <v>1297264.5438823432</v>
      </c>
      <c r="AE195" s="12">
        <f t="shared" ca="1" si="182"/>
        <v>1356307.3288194465</v>
      </c>
      <c r="AF195" s="12">
        <f t="shared" ca="1" si="183"/>
        <v>1606767.6970256511</v>
      </c>
      <c r="AG195" s="12">
        <f t="shared" ca="1" si="184"/>
        <v>1530744.7695806928</v>
      </c>
      <c r="AH195" s="12">
        <f t="shared" ca="1" si="185"/>
        <v>1530744.7695806928</v>
      </c>
    </row>
    <row r="196" spans="2:34" x14ac:dyDescent="0.25">
      <c r="B196" s="6">
        <v>180</v>
      </c>
      <c r="D196" s="12">
        <f t="shared" ca="1" si="155"/>
        <v>212917.90324522738</v>
      </c>
      <c r="E196" s="12">
        <f t="shared" ca="1" si="156"/>
        <v>227218.17635909043</v>
      </c>
      <c r="F196" s="12">
        <f t="shared" ca="1" si="157"/>
        <v>301123.3306007128</v>
      </c>
      <c r="G196" s="12">
        <f t="shared" ca="1" si="158"/>
        <v>367365.01278220513</v>
      </c>
      <c r="H196" s="12">
        <f t="shared" ca="1" si="159"/>
        <v>378060.20802447118</v>
      </c>
      <c r="I196" s="12">
        <f t="shared" ca="1" si="160"/>
        <v>425057.33395773021</v>
      </c>
      <c r="J196" s="12">
        <f t="shared" ca="1" si="161"/>
        <v>465057.10361920745</v>
      </c>
      <c r="K196" s="12">
        <f t="shared" ca="1" si="162"/>
        <v>505825.63028143073</v>
      </c>
      <c r="L196" s="12">
        <f t="shared" ca="1" si="163"/>
        <v>503820.31264268456</v>
      </c>
      <c r="M196" s="12">
        <f t="shared" ca="1" si="164"/>
        <v>601675.45418395835</v>
      </c>
      <c r="N196" s="12">
        <f t="shared" ca="1" si="165"/>
        <v>679866.36537430959</v>
      </c>
      <c r="O196" s="12">
        <f t="shared" ca="1" si="166"/>
        <v>886245.01152795448</v>
      </c>
      <c r="P196" s="12">
        <f t="shared" ca="1" si="167"/>
        <v>1050584.1473295572</v>
      </c>
      <c r="Q196" s="12">
        <f t="shared" ca="1" si="168"/>
        <v>941591.33542773733</v>
      </c>
      <c r="R196" s="12">
        <f t="shared" ca="1" si="169"/>
        <v>1009693.3195043068</v>
      </c>
      <c r="S196" s="12">
        <f t="shared" ca="1" si="170"/>
        <v>1031863.2481797476</v>
      </c>
      <c r="T196" s="12">
        <f t="shared" ca="1" si="171"/>
        <v>1181645.8519724321</v>
      </c>
      <c r="U196" s="12">
        <f t="shared" ca="1" si="172"/>
        <v>1439640.9703330761</v>
      </c>
      <c r="V196" s="12">
        <f t="shared" ca="1" si="173"/>
        <v>1436530.0662531678</v>
      </c>
      <c r="W196" s="12">
        <f t="shared" ca="1" si="174"/>
        <v>1520491.7106512731</v>
      </c>
      <c r="X196" s="12">
        <f t="shared" ca="1" si="175"/>
        <v>1449390.3253363115</v>
      </c>
      <c r="Y196" s="12">
        <f t="shared" ca="1" si="176"/>
        <v>1462293.892874459</v>
      </c>
      <c r="Z196" s="12">
        <f t="shared" ca="1" si="177"/>
        <v>1381055.6997835469</v>
      </c>
      <c r="AA196" s="12">
        <f t="shared" ca="1" si="178"/>
        <v>1769839.4610514326</v>
      </c>
      <c r="AB196" s="12">
        <f t="shared" ca="1" si="179"/>
        <v>1979104.7970924394</v>
      </c>
      <c r="AC196" s="12">
        <f t="shared" ca="1" si="180"/>
        <v>1859242.6769184892</v>
      </c>
      <c r="AD196" s="12">
        <f t="shared" ca="1" si="181"/>
        <v>1888262.3603423475</v>
      </c>
      <c r="AE196" s="12">
        <f t="shared" ca="1" si="182"/>
        <v>1895590.9623833855</v>
      </c>
      <c r="AF196" s="12">
        <f t="shared" ca="1" si="183"/>
        <v>1876343.3613584158</v>
      </c>
      <c r="AG196" s="12">
        <f t="shared" ca="1" si="184"/>
        <v>1907468.6467939084</v>
      </c>
      <c r="AH196" s="12">
        <f t="shared" ca="1" si="185"/>
        <v>1907468.6467939084</v>
      </c>
    </row>
    <row r="197" spans="2:34" x14ac:dyDescent="0.25">
      <c r="B197" s="6">
        <v>181</v>
      </c>
      <c r="D197" s="12">
        <f t="shared" ca="1" si="155"/>
        <v>175391.34556088847</v>
      </c>
      <c r="E197" s="12">
        <f t="shared" ca="1" si="156"/>
        <v>181734.34964870015</v>
      </c>
      <c r="F197" s="12">
        <f t="shared" ca="1" si="157"/>
        <v>220888.29650573249</v>
      </c>
      <c r="G197" s="12">
        <f t="shared" ca="1" si="158"/>
        <v>242360.93575620884</v>
      </c>
      <c r="H197" s="12">
        <f t="shared" ca="1" si="159"/>
        <v>313926.23433180642</v>
      </c>
      <c r="I197" s="12">
        <f t="shared" ca="1" si="160"/>
        <v>363356.3465475142</v>
      </c>
      <c r="J197" s="12">
        <f t="shared" ca="1" si="161"/>
        <v>372720.2275618214</v>
      </c>
      <c r="K197" s="12">
        <f t="shared" ca="1" si="162"/>
        <v>432055.01084828371</v>
      </c>
      <c r="L197" s="12">
        <f t="shared" ca="1" si="163"/>
        <v>518163.22114752675</v>
      </c>
      <c r="M197" s="12">
        <f t="shared" ca="1" si="164"/>
        <v>575725.70475244545</v>
      </c>
      <c r="N197" s="12">
        <f t="shared" ca="1" si="165"/>
        <v>718310.74082585401</v>
      </c>
      <c r="O197" s="12">
        <f t="shared" ca="1" si="166"/>
        <v>767330.10841045086</v>
      </c>
      <c r="P197" s="12">
        <f t="shared" ca="1" si="167"/>
        <v>774277.53231545282</v>
      </c>
      <c r="Q197" s="12">
        <f t="shared" ca="1" si="168"/>
        <v>901164.78418303432</v>
      </c>
      <c r="R197" s="12">
        <f t="shared" ca="1" si="169"/>
        <v>938165.22093509929</v>
      </c>
      <c r="S197" s="12">
        <f t="shared" ca="1" si="170"/>
        <v>937081.96250673814</v>
      </c>
      <c r="T197" s="12">
        <f t="shared" ca="1" si="171"/>
        <v>1216915.3790421525</v>
      </c>
      <c r="U197" s="12">
        <f t="shared" ca="1" si="172"/>
        <v>1527218.2223750737</v>
      </c>
      <c r="V197" s="12">
        <f t="shared" ca="1" si="173"/>
        <v>1790743.3868393456</v>
      </c>
      <c r="W197" s="12">
        <f t="shared" ca="1" si="174"/>
        <v>1841084.6480924021</v>
      </c>
      <c r="X197" s="12">
        <f t="shared" ca="1" si="175"/>
        <v>1993209.0171232428</v>
      </c>
      <c r="Y197" s="12">
        <f t="shared" ca="1" si="176"/>
        <v>2573851.8141671396</v>
      </c>
      <c r="Z197" s="12">
        <f t="shared" ca="1" si="177"/>
        <v>3030356.4409355992</v>
      </c>
      <c r="AA197" s="12">
        <f t="shared" ca="1" si="178"/>
        <v>3332824.260030814</v>
      </c>
      <c r="AB197" s="12">
        <f t="shared" ca="1" si="179"/>
        <v>3021467.1388015226</v>
      </c>
      <c r="AC197" s="12">
        <f t="shared" ca="1" si="180"/>
        <v>3510976.016947805</v>
      </c>
      <c r="AD197" s="12">
        <f t="shared" ca="1" si="181"/>
        <v>4045778.0594853908</v>
      </c>
      <c r="AE197" s="12">
        <f t="shared" ca="1" si="182"/>
        <v>4668046.9619269753</v>
      </c>
      <c r="AF197" s="12">
        <f t="shared" ca="1" si="183"/>
        <v>5246667.1164613422</v>
      </c>
      <c r="AG197" s="12">
        <f t="shared" ca="1" si="184"/>
        <v>5512644.2502061669</v>
      </c>
      <c r="AH197" s="12">
        <f t="shared" ca="1" si="185"/>
        <v>5512644.2502061669</v>
      </c>
    </row>
    <row r="198" spans="2:34" x14ac:dyDescent="0.25">
      <c r="B198" s="6">
        <v>182</v>
      </c>
      <c r="D198" s="12">
        <f t="shared" ca="1" si="155"/>
        <v>212694.79820439662</v>
      </c>
      <c r="E198" s="12">
        <f t="shared" ca="1" si="156"/>
        <v>262910.96242411732</v>
      </c>
      <c r="F198" s="12">
        <f t="shared" ca="1" si="157"/>
        <v>269298.64468561159</v>
      </c>
      <c r="G198" s="12">
        <f t="shared" ca="1" si="158"/>
        <v>279003.25042689656</v>
      </c>
      <c r="H198" s="12">
        <f t="shared" ca="1" si="159"/>
        <v>269302.45268039202</v>
      </c>
      <c r="I198" s="12">
        <f t="shared" ca="1" si="160"/>
        <v>322835.54239605722</v>
      </c>
      <c r="J198" s="12">
        <f t="shared" ca="1" si="161"/>
        <v>431919.41410801333</v>
      </c>
      <c r="K198" s="12">
        <f t="shared" ca="1" si="162"/>
        <v>446346.93563153944</v>
      </c>
      <c r="L198" s="12">
        <f t="shared" ca="1" si="163"/>
        <v>463093.19154696981</v>
      </c>
      <c r="M198" s="12">
        <f t="shared" ca="1" si="164"/>
        <v>457756.8557184767</v>
      </c>
      <c r="N198" s="12">
        <f t="shared" ca="1" si="165"/>
        <v>631768.8017323981</v>
      </c>
      <c r="O198" s="12">
        <f t="shared" ca="1" si="166"/>
        <v>699645.51420416357</v>
      </c>
      <c r="P198" s="12">
        <f t="shared" ca="1" si="167"/>
        <v>796306.71777556418</v>
      </c>
      <c r="Q198" s="12">
        <f t="shared" ca="1" si="168"/>
        <v>757822.27370167535</v>
      </c>
      <c r="R198" s="12">
        <f t="shared" ca="1" si="169"/>
        <v>616588.01097655995</v>
      </c>
      <c r="S198" s="12">
        <f t="shared" ca="1" si="170"/>
        <v>689643.79050780367</v>
      </c>
      <c r="T198" s="12">
        <f t="shared" ca="1" si="171"/>
        <v>741928.17984336067</v>
      </c>
      <c r="U198" s="12">
        <f t="shared" ca="1" si="172"/>
        <v>851904.84599197831</v>
      </c>
      <c r="V198" s="12">
        <f t="shared" ca="1" si="173"/>
        <v>1047486.6666772725</v>
      </c>
      <c r="W198" s="12">
        <f t="shared" ca="1" si="174"/>
        <v>1149853.1271075658</v>
      </c>
      <c r="X198" s="12">
        <f t="shared" ca="1" si="175"/>
        <v>1171348.5596956345</v>
      </c>
      <c r="Y198" s="12">
        <f t="shared" ca="1" si="176"/>
        <v>1633704.1783885637</v>
      </c>
      <c r="Z198" s="12">
        <f t="shared" ca="1" si="177"/>
        <v>1816677.0442513709</v>
      </c>
      <c r="AA198" s="12">
        <f t="shared" ca="1" si="178"/>
        <v>2341073.4113998921</v>
      </c>
      <c r="AB198" s="12">
        <f t="shared" ca="1" si="179"/>
        <v>2979208.6286660773</v>
      </c>
      <c r="AC198" s="12">
        <f t="shared" ca="1" si="180"/>
        <v>3396176.1417641691</v>
      </c>
      <c r="AD198" s="12">
        <f t="shared" ca="1" si="181"/>
        <v>3383301.7944563101</v>
      </c>
      <c r="AE198" s="12">
        <f t="shared" ca="1" si="182"/>
        <v>3139095.2937690848</v>
      </c>
      <c r="AF198" s="12">
        <f t="shared" ca="1" si="183"/>
        <v>3211664.3662613081</v>
      </c>
      <c r="AG198" s="12">
        <f t="shared" ca="1" si="184"/>
        <v>2907413.1211637696</v>
      </c>
      <c r="AH198" s="12">
        <f t="shared" ca="1" si="185"/>
        <v>2907413.1211637696</v>
      </c>
    </row>
    <row r="199" spans="2:34" x14ac:dyDescent="0.25">
      <c r="B199" s="6">
        <v>183</v>
      </c>
      <c r="D199" s="12">
        <f t="shared" ca="1" si="155"/>
        <v>186718.32619043463</v>
      </c>
      <c r="E199" s="12">
        <f t="shared" ca="1" si="156"/>
        <v>211943.59427771287</v>
      </c>
      <c r="F199" s="12">
        <f t="shared" ca="1" si="157"/>
        <v>280334.13806556514</v>
      </c>
      <c r="G199" s="12">
        <f t="shared" ca="1" si="158"/>
        <v>315089.63571585179</v>
      </c>
      <c r="H199" s="12">
        <f t="shared" ca="1" si="159"/>
        <v>329457.86578880635</v>
      </c>
      <c r="I199" s="12">
        <f t="shared" ca="1" si="160"/>
        <v>324727.99557538022</v>
      </c>
      <c r="J199" s="12">
        <f t="shared" ca="1" si="161"/>
        <v>360635.09997919621</v>
      </c>
      <c r="K199" s="12">
        <f t="shared" ca="1" si="162"/>
        <v>450106.16917651345</v>
      </c>
      <c r="L199" s="12">
        <f t="shared" ca="1" si="163"/>
        <v>481179.46894126711</v>
      </c>
      <c r="M199" s="12">
        <f t="shared" ca="1" si="164"/>
        <v>523608.25966725062</v>
      </c>
      <c r="N199" s="12">
        <f t="shared" ca="1" si="165"/>
        <v>499255.64339430915</v>
      </c>
      <c r="O199" s="12">
        <f t="shared" ca="1" si="166"/>
        <v>523651.90751401748</v>
      </c>
      <c r="P199" s="12">
        <f t="shared" ca="1" si="167"/>
        <v>546916.01291782805</v>
      </c>
      <c r="Q199" s="12">
        <f t="shared" ca="1" si="168"/>
        <v>776488.62471189711</v>
      </c>
      <c r="R199" s="12">
        <f t="shared" ca="1" si="169"/>
        <v>786049.93701731332</v>
      </c>
      <c r="S199" s="12">
        <f t="shared" ca="1" si="170"/>
        <v>918185.51089807437</v>
      </c>
      <c r="T199" s="12">
        <f t="shared" ca="1" si="171"/>
        <v>959924.39566111239</v>
      </c>
      <c r="U199" s="12">
        <f t="shared" ca="1" si="172"/>
        <v>1046609.6936487458</v>
      </c>
      <c r="V199" s="12">
        <f t="shared" ca="1" si="173"/>
        <v>1182257.5560650737</v>
      </c>
      <c r="W199" s="12">
        <f t="shared" ca="1" si="174"/>
        <v>1377381.9013590117</v>
      </c>
      <c r="X199" s="12">
        <f t="shared" ca="1" si="175"/>
        <v>1485083.0832646873</v>
      </c>
      <c r="Y199" s="12">
        <f t="shared" ca="1" si="176"/>
        <v>1431268.166111598</v>
      </c>
      <c r="Z199" s="12">
        <f t="shared" ca="1" si="177"/>
        <v>1631838.0808848306</v>
      </c>
      <c r="AA199" s="12">
        <f t="shared" ca="1" si="178"/>
        <v>1866980.0818036683</v>
      </c>
      <c r="AB199" s="12">
        <f t="shared" ca="1" si="179"/>
        <v>1620580.4568814507</v>
      </c>
      <c r="AC199" s="12">
        <f t="shared" ca="1" si="180"/>
        <v>1555953.9648070985</v>
      </c>
      <c r="AD199" s="12">
        <f t="shared" ca="1" si="181"/>
        <v>1757312.2069806645</v>
      </c>
      <c r="AE199" s="12">
        <f t="shared" ca="1" si="182"/>
        <v>2253688.8161883568</v>
      </c>
      <c r="AF199" s="12">
        <f t="shared" ca="1" si="183"/>
        <v>2037448.1119432296</v>
      </c>
      <c r="AG199" s="12">
        <f t="shared" ca="1" si="184"/>
        <v>2203658.2941429014</v>
      </c>
      <c r="AH199" s="12">
        <f t="shared" ca="1" si="185"/>
        <v>2203658.2941429014</v>
      </c>
    </row>
    <row r="200" spans="2:34" x14ac:dyDescent="0.25">
      <c r="B200" s="6">
        <v>184</v>
      </c>
      <c r="D200" s="12">
        <f t="shared" ca="1" si="155"/>
        <v>247258.45705922807</v>
      </c>
      <c r="E200" s="12">
        <f t="shared" ca="1" si="156"/>
        <v>253408.99853426032</v>
      </c>
      <c r="F200" s="12">
        <f t="shared" ca="1" si="157"/>
        <v>296231.7521568659</v>
      </c>
      <c r="G200" s="12">
        <f t="shared" ca="1" si="158"/>
        <v>297576.89678874362</v>
      </c>
      <c r="H200" s="12">
        <f t="shared" ca="1" si="159"/>
        <v>351371.74655902776</v>
      </c>
      <c r="I200" s="12">
        <f t="shared" ca="1" si="160"/>
        <v>398924.27424468158</v>
      </c>
      <c r="J200" s="12">
        <f t="shared" ca="1" si="161"/>
        <v>334163.47022974747</v>
      </c>
      <c r="K200" s="12">
        <f t="shared" ca="1" si="162"/>
        <v>360436.32884635479</v>
      </c>
      <c r="L200" s="12">
        <f t="shared" ca="1" si="163"/>
        <v>369845.75501038053</v>
      </c>
      <c r="M200" s="12">
        <f t="shared" ca="1" si="164"/>
        <v>362585.53203773405</v>
      </c>
      <c r="N200" s="12">
        <f t="shared" ca="1" si="165"/>
        <v>471860.83370248828</v>
      </c>
      <c r="O200" s="12">
        <f t="shared" ca="1" si="166"/>
        <v>519869.28307888581</v>
      </c>
      <c r="P200" s="12">
        <f t="shared" ca="1" si="167"/>
        <v>660881.472298851</v>
      </c>
      <c r="Q200" s="12">
        <f t="shared" ca="1" si="168"/>
        <v>674914.08419536264</v>
      </c>
      <c r="R200" s="12">
        <f t="shared" ca="1" si="169"/>
        <v>773867.01501947059</v>
      </c>
      <c r="S200" s="12">
        <f t="shared" ca="1" si="170"/>
        <v>1072992.6914769032</v>
      </c>
      <c r="T200" s="12">
        <f t="shared" ca="1" si="171"/>
        <v>1169461.0180852073</v>
      </c>
      <c r="U200" s="12">
        <f t="shared" ca="1" si="172"/>
        <v>1413611.1526916453</v>
      </c>
      <c r="V200" s="12">
        <f t="shared" ca="1" si="173"/>
        <v>1638710.827432408</v>
      </c>
      <c r="W200" s="12">
        <f t="shared" ca="1" si="174"/>
        <v>1704961.9306087648</v>
      </c>
      <c r="X200" s="12">
        <f t="shared" ca="1" si="175"/>
        <v>1587065.216136052</v>
      </c>
      <c r="Y200" s="12">
        <f t="shared" ca="1" si="176"/>
        <v>1976551.8529934948</v>
      </c>
      <c r="Z200" s="12">
        <f t="shared" ca="1" si="177"/>
        <v>2402421.3090646062</v>
      </c>
      <c r="AA200" s="12">
        <f t="shared" ca="1" si="178"/>
        <v>3106237.091958466</v>
      </c>
      <c r="AB200" s="12">
        <f t="shared" ca="1" si="179"/>
        <v>3461221.7703581401</v>
      </c>
      <c r="AC200" s="12">
        <f t="shared" ca="1" si="180"/>
        <v>3829513.0718617653</v>
      </c>
      <c r="AD200" s="12">
        <f t="shared" ca="1" si="181"/>
        <v>4496323.1528533986</v>
      </c>
      <c r="AE200" s="12">
        <f t="shared" ca="1" si="182"/>
        <v>4221881.0323900143</v>
      </c>
      <c r="AF200" s="12">
        <f t="shared" ca="1" si="183"/>
        <v>5037555.9483928438</v>
      </c>
      <c r="AG200" s="12">
        <f t="shared" ca="1" si="184"/>
        <v>4968568.8060763571</v>
      </c>
      <c r="AH200" s="12">
        <f t="shared" ca="1" si="185"/>
        <v>4968568.8060763571</v>
      </c>
    </row>
    <row r="201" spans="2:34" x14ac:dyDescent="0.25">
      <c r="B201" s="6">
        <v>185</v>
      </c>
      <c r="D201" s="12">
        <f t="shared" ca="1" si="155"/>
        <v>192917.35375296499</v>
      </c>
      <c r="E201" s="12">
        <f t="shared" ca="1" si="156"/>
        <v>230550.12989670504</v>
      </c>
      <c r="F201" s="12">
        <f t="shared" ca="1" si="157"/>
        <v>282964.62827142217</v>
      </c>
      <c r="G201" s="12">
        <f t="shared" ca="1" si="158"/>
        <v>257587.69010650954</v>
      </c>
      <c r="H201" s="12">
        <f t="shared" ca="1" si="159"/>
        <v>318262.04348405014</v>
      </c>
      <c r="I201" s="12">
        <f t="shared" ca="1" si="160"/>
        <v>372613.63075547694</v>
      </c>
      <c r="J201" s="12">
        <f t="shared" ca="1" si="161"/>
        <v>411183.92852010857</v>
      </c>
      <c r="K201" s="12">
        <f t="shared" ca="1" si="162"/>
        <v>532815.4189329436</v>
      </c>
      <c r="L201" s="12">
        <f t="shared" ca="1" si="163"/>
        <v>589633.40929637675</v>
      </c>
      <c r="M201" s="12">
        <f t="shared" ca="1" si="164"/>
        <v>676056.15081360831</v>
      </c>
      <c r="N201" s="12">
        <f t="shared" ca="1" si="165"/>
        <v>801336.07311038591</v>
      </c>
      <c r="O201" s="12">
        <f t="shared" ca="1" si="166"/>
        <v>790429.11276533513</v>
      </c>
      <c r="P201" s="12">
        <f t="shared" ca="1" si="167"/>
        <v>767800.66200419469</v>
      </c>
      <c r="Q201" s="12">
        <f t="shared" ca="1" si="168"/>
        <v>828748.78153500799</v>
      </c>
      <c r="R201" s="12">
        <f t="shared" ca="1" si="169"/>
        <v>1040816.5758577436</v>
      </c>
      <c r="S201" s="12">
        <f t="shared" ca="1" si="170"/>
        <v>1295895.0482777802</v>
      </c>
      <c r="T201" s="12">
        <f t="shared" ca="1" si="171"/>
        <v>1473308.5461506974</v>
      </c>
      <c r="U201" s="12">
        <f t="shared" ca="1" si="172"/>
        <v>1946837.7086810009</v>
      </c>
      <c r="V201" s="12">
        <f t="shared" ca="1" si="173"/>
        <v>1888042.4284849144</v>
      </c>
      <c r="W201" s="12">
        <f t="shared" ca="1" si="174"/>
        <v>1995679.2921729088</v>
      </c>
      <c r="X201" s="12">
        <f t="shared" ca="1" si="175"/>
        <v>2570204.9640913778</v>
      </c>
      <c r="Y201" s="12">
        <f t="shared" ca="1" si="176"/>
        <v>2575124.0654159384</v>
      </c>
      <c r="Z201" s="12">
        <f t="shared" ca="1" si="177"/>
        <v>2286258.9548058459</v>
      </c>
      <c r="AA201" s="12">
        <f t="shared" ca="1" si="178"/>
        <v>2289740.5766182649</v>
      </c>
      <c r="AB201" s="12">
        <f t="shared" ca="1" si="179"/>
        <v>2360007.1972175227</v>
      </c>
      <c r="AC201" s="12">
        <f t="shared" ca="1" si="180"/>
        <v>2746455.6807927545</v>
      </c>
      <c r="AD201" s="12">
        <f t="shared" ca="1" si="181"/>
        <v>3254999.5986033673</v>
      </c>
      <c r="AE201" s="12">
        <f t="shared" ca="1" si="182"/>
        <v>3184244.3942418192</v>
      </c>
      <c r="AF201" s="12">
        <f t="shared" ca="1" si="183"/>
        <v>3572576.081775188</v>
      </c>
      <c r="AG201" s="12">
        <f t="shared" ca="1" si="184"/>
        <v>3290742.4195829197</v>
      </c>
      <c r="AH201" s="12">
        <f t="shared" ca="1" si="185"/>
        <v>3290742.4195829197</v>
      </c>
    </row>
    <row r="202" spans="2:34" x14ac:dyDescent="0.25">
      <c r="B202" s="6">
        <v>186</v>
      </c>
      <c r="D202" s="12">
        <f t="shared" ca="1" si="155"/>
        <v>192542.80179355762</v>
      </c>
      <c r="E202" s="12">
        <f t="shared" ca="1" si="156"/>
        <v>225953.11626056186</v>
      </c>
      <c r="F202" s="12">
        <f t="shared" ca="1" si="157"/>
        <v>220030.11077030987</v>
      </c>
      <c r="G202" s="12">
        <f t="shared" ca="1" si="158"/>
        <v>262060.66712315439</v>
      </c>
      <c r="H202" s="12">
        <f t="shared" ca="1" si="159"/>
        <v>291630.62967718428</v>
      </c>
      <c r="I202" s="12">
        <f t="shared" ca="1" si="160"/>
        <v>384764.1847241759</v>
      </c>
      <c r="J202" s="12">
        <f t="shared" ca="1" si="161"/>
        <v>513568.94149410061</v>
      </c>
      <c r="K202" s="12">
        <f t="shared" ca="1" si="162"/>
        <v>580887.55108487606</v>
      </c>
      <c r="L202" s="12">
        <f t="shared" ca="1" si="163"/>
        <v>756147.10236792266</v>
      </c>
      <c r="M202" s="12">
        <f t="shared" ca="1" si="164"/>
        <v>794739.71449606854</v>
      </c>
      <c r="N202" s="12">
        <f t="shared" ca="1" si="165"/>
        <v>789174.80875302176</v>
      </c>
      <c r="O202" s="12">
        <f t="shared" ca="1" si="166"/>
        <v>1106842.2230846446</v>
      </c>
      <c r="P202" s="12">
        <f t="shared" ca="1" si="167"/>
        <v>1155018.2557181872</v>
      </c>
      <c r="Q202" s="12">
        <f t="shared" ca="1" si="168"/>
        <v>1377721.3368354391</v>
      </c>
      <c r="R202" s="12">
        <f t="shared" ca="1" si="169"/>
        <v>1582261.1864406383</v>
      </c>
      <c r="S202" s="12">
        <f t="shared" ca="1" si="170"/>
        <v>1358668.8723887999</v>
      </c>
      <c r="T202" s="12">
        <f t="shared" ca="1" si="171"/>
        <v>1630252.165343421</v>
      </c>
      <c r="U202" s="12">
        <f t="shared" ca="1" si="172"/>
        <v>1346632.6704039758</v>
      </c>
      <c r="V202" s="12">
        <f t="shared" ca="1" si="173"/>
        <v>1658628.2043346721</v>
      </c>
      <c r="W202" s="12">
        <f t="shared" ca="1" si="174"/>
        <v>1856634.977154766</v>
      </c>
      <c r="X202" s="12">
        <f t="shared" ca="1" si="175"/>
        <v>1916841.8995428807</v>
      </c>
      <c r="Y202" s="12">
        <f t="shared" ca="1" si="176"/>
        <v>2141582.5067814654</v>
      </c>
      <c r="Z202" s="12">
        <f t="shared" ca="1" si="177"/>
        <v>2040640.2076640499</v>
      </c>
      <c r="AA202" s="12">
        <f t="shared" ca="1" si="178"/>
        <v>2430402.7924218606</v>
      </c>
      <c r="AB202" s="12">
        <f t="shared" ca="1" si="179"/>
        <v>2434527.9583238135</v>
      </c>
      <c r="AC202" s="12">
        <f t="shared" ca="1" si="180"/>
        <v>2305850.2618561215</v>
      </c>
      <c r="AD202" s="12">
        <f t="shared" ca="1" si="181"/>
        <v>2799827.2604545783</v>
      </c>
      <c r="AE202" s="12">
        <f t="shared" ca="1" si="182"/>
        <v>2636524.9082816318</v>
      </c>
      <c r="AF202" s="12">
        <f t="shared" ca="1" si="183"/>
        <v>2689761.5950238332</v>
      </c>
      <c r="AG202" s="12">
        <f t="shared" ca="1" si="184"/>
        <v>2765587.6765562119</v>
      </c>
      <c r="AH202" s="12">
        <f t="shared" ca="1" si="185"/>
        <v>2765587.6765562119</v>
      </c>
    </row>
    <row r="203" spans="2:34" x14ac:dyDescent="0.25">
      <c r="B203" s="6">
        <v>187</v>
      </c>
      <c r="D203" s="12">
        <f t="shared" ca="1" si="155"/>
        <v>193011.67181709848</v>
      </c>
      <c r="E203" s="12">
        <f t="shared" ca="1" si="156"/>
        <v>232888.68559530901</v>
      </c>
      <c r="F203" s="12">
        <f t="shared" ca="1" si="157"/>
        <v>220052.18368471295</v>
      </c>
      <c r="G203" s="12">
        <f t="shared" ca="1" si="158"/>
        <v>256043.6133224823</v>
      </c>
      <c r="H203" s="12">
        <f t="shared" ca="1" si="159"/>
        <v>289955.67354744335</v>
      </c>
      <c r="I203" s="12">
        <f t="shared" ca="1" si="160"/>
        <v>330812.30273293291</v>
      </c>
      <c r="J203" s="12">
        <f t="shared" ca="1" si="161"/>
        <v>431096.88871397544</v>
      </c>
      <c r="K203" s="12">
        <f t="shared" ca="1" si="162"/>
        <v>558079.51857742819</v>
      </c>
      <c r="L203" s="12">
        <f t="shared" ca="1" si="163"/>
        <v>582297.20056232507</v>
      </c>
      <c r="M203" s="12">
        <f t="shared" ca="1" si="164"/>
        <v>699959.95090470265</v>
      </c>
      <c r="N203" s="12">
        <f t="shared" ca="1" si="165"/>
        <v>638298.51086594549</v>
      </c>
      <c r="O203" s="12">
        <f t="shared" ca="1" si="166"/>
        <v>695033.53690549789</v>
      </c>
      <c r="P203" s="12">
        <f t="shared" ca="1" si="167"/>
        <v>805708.02891451982</v>
      </c>
      <c r="Q203" s="12">
        <f t="shared" ca="1" si="168"/>
        <v>744204.553882409</v>
      </c>
      <c r="R203" s="12">
        <f t="shared" ca="1" si="169"/>
        <v>827648.67329944309</v>
      </c>
      <c r="S203" s="12">
        <f t="shared" ca="1" si="170"/>
        <v>811613.16953714727</v>
      </c>
      <c r="T203" s="12">
        <f t="shared" ca="1" si="171"/>
        <v>1010970.36356851</v>
      </c>
      <c r="U203" s="12">
        <f t="shared" ca="1" si="172"/>
        <v>1164589.2951666152</v>
      </c>
      <c r="V203" s="12">
        <f t="shared" ca="1" si="173"/>
        <v>1294712.4616179245</v>
      </c>
      <c r="W203" s="12">
        <f t="shared" ca="1" si="174"/>
        <v>1527661.266008443</v>
      </c>
      <c r="X203" s="12">
        <f t="shared" ca="1" si="175"/>
        <v>1683181.4962621732</v>
      </c>
      <c r="Y203" s="12">
        <f t="shared" ca="1" si="176"/>
        <v>1907431.9903690091</v>
      </c>
      <c r="Z203" s="12">
        <f t="shared" ca="1" si="177"/>
        <v>1964376.5659437177</v>
      </c>
      <c r="AA203" s="12">
        <f t="shared" ca="1" si="178"/>
        <v>2108615.2111480348</v>
      </c>
      <c r="AB203" s="12">
        <f t="shared" ca="1" si="179"/>
        <v>2183649.7280654148</v>
      </c>
      <c r="AC203" s="12">
        <f t="shared" ca="1" si="180"/>
        <v>2440987.7277766266</v>
      </c>
      <c r="AD203" s="12">
        <f t="shared" ca="1" si="181"/>
        <v>2348296.8649407458</v>
      </c>
      <c r="AE203" s="12">
        <f t="shared" ca="1" si="182"/>
        <v>2582816.3741888721</v>
      </c>
      <c r="AF203" s="12">
        <f t="shared" ca="1" si="183"/>
        <v>2784111.3603863884</v>
      </c>
      <c r="AG203" s="12">
        <f t="shared" ca="1" si="184"/>
        <v>2154876.6466878224</v>
      </c>
      <c r="AH203" s="12">
        <f t="shared" ca="1" si="185"/>
        <v>2154876.6466878224</v>
      </c>
    </row>
    <row r="204" spans="2:34" x14ac:dyDescent="0.25">
      <c r="B204" s="6">
        <v>188</v>
      </c>
      <c r="D204" s="12">
        <f t="shared" ca="1" si="155"/>
        <v>172662.45203262358</v>
      </c>
      <c r="E204" s="12">
        <f t="shared" ca="1" si="156"/>
        <v>219660.34444961062</v>
      </c>
      <c r="F204" s="12">
        <f t="shared" ca="1" si="157"/>
        <v>218421.2878683341</v>
      </c>
      <c r="G204" s="12">
        <f t="shared" ca="1" si="158"/>
        <v>238982.51265071504</v>
      </c>
      <c r="H204" s="12">
        <f t="shared" ca="1" si="159"/>
        <v>269670.67997137341</v>
      </c>
      <c r="I204" s="12">
        <f t="shared" ca="1" si="160"/>
        <v>319005.84297135245</v>
      </c>
      <c r="J204" s="12">
        <f t="shared" ca="1" si="161"/>
        <v>345698.95036289457</v>
      </c>
      <c r="K204" s="12">
        <f t="shared" ca="1" si="162"/>
        <v>342494.22970790375</v>
      </c>
      <c r="L204" s="12">
        <f t="shared" ca="1" si="163"/>
        <v>408828.29201994301</v>
      </c>
      <c r="M204" s="12">
        <f t="shared" ca="1" si="164"/>
        <v>370953.33097475575</v>
      </c>
      <c r="N204" s="12">
        <f t="shared" ca="1" si="165"/>
        <v>452047.5959173672</v>
      </c>
      <c r="O204" s="12">
        <f t="shared" ca="1" si="166"/>
        <v>453878.01322560798</v>
      </c>
      <c r="P204" s="12">
        <f t="shared" ca="1" si="167"/>
        <v>484685.97781420877</v>
      </c>
      <c r="Q204" s="12">
        <f t="shared" ca="1" si="168"/>
        <v>502247.46976525203</v>
      </c>
      <c r="R204" s="12">
        <f t="shared" ca="1" si="169"/>
        <v>525242.01071851491</v>
      </c>
      <c r="S204" s="12">
        <f t="shared" ca="1" si="170"/>
        <v>546921.25586034765</v>
      </c>
      <c r="T204" s="12">
        <f t="shared" ca="1" si="171"/>
        <v>557976.74838158581</v>
      </c>
      <c r="U204" s="12">
        <f t="shared" ca="1" si="172"/>
        <v>709990.1499197724</v>
      </c>
      <c r="V204" s="12">
        <f t="shared" ca="1" si="173"/>
        <v>731857.13088900154</v>
      </c>
      <c r="W204" s="12">
        <f t="shared" ca="1" si="174"/>
        <v>802126.59522439446</v>
      </c>
      <c r="X204" s="12">
        <f t="shared" ca="1" si="175"/>
        <v>857377.35780300631</v>
      </c>
      <c r="Y204" s="12">
        <f t="shared" ca="1" si="176"/>
        <v>1049025.7317046069</v>
      </c>
      <c r="Z204" s="12">
        <f t="shared" ca="1" si="177"/>
        <v>1285969.1140299458</v>
      </c>
      <c r="AA204" s="12">
        <f t="shared" ca="1" si="178"/>
        <v>1682437.9911067237</v>
      </c>
      <c r="AB204" s="12">
        <f t="shared" ca="1" si="179"/>
        <v>2170710.2154887775</v>
      </c>
      <c r="AC204" s="12">
        <f t="shared" ca="1" si="180"/>
        <v>2222032.9359535072</v>
      </c>
      <c r="AD204" s="12">
        <f t="shared" ca="1" si="181"/>
        <v>2030573.9074942293</v>
      </c>
      <c r="AE204" s="12">
        <f t="shared" ca="1" si="182"/>
        <v>2550828.5858711605</v>
      </c>
      <c r="AF204" s="12">
        <f t="shared" ca="1" si="183"/>
        <v>2829698.4368136358</v>
      </c>
      <c r="AG204" s="12">
        <f t="shared" ca="1" si="184"/>
        <v>2761687.5979571831</v>
      </c>
      <c r="AH204" s="12">
        <f t="shared" ca="1" si="185"/>
        <v>2761687.5979571831</v>
      </c>
    </row>
    <row r="205" spans="2:34" x14ac:dyDescent="0.25">
      <c r="B205" s="6">
        <v>189</v>
      </c>
      <c r="D205" s="12">
        <f t="shared" ca="1" si="155"/>
        <v>216920.69128887076</v>
      </c>
      <c r="E205" s="12">
        <f t="shared" ca="1" si="156"/>
        <v>236125.69645033369</v>
      </c>
      <c r="F205" s="12">
        <f t="shared" ca="1" si="157"/>
        <v>254774.84309306808</v>
      </c>
      <c r="G205" s="12">
        <f t="shared" ca="1" si="158"/>
        <v>262550.33067142853</v>
      </c>
      <c r="H205" s="12">
        <f t="shared" ca="1" si="159"/>
        <v>306940.28855420992</v>
      </c>
      <c r="I205" s="12">
        <f t="shared" ca="1" si="160"/>
        <v>284352.14052570239</v>
      </c>
      <c r="J205" s="12">
        <f t="shared" ca="1" si="161"/>
        <v>332370.63874871301</v>
      </c>
      <c r="K205" s="12">
        <f t="shared" ca="1" si="162"/>
        <v>433878.68068661209</v>
      </c>
      <c r="L205" s="12">
        <f t="shared" ca="1" si="163"/>
        <v>439088.63940941548</v>
      </c>
      <c r="M205" s="12">
        <f t="shared" ca="1" si="164"/>
        <v>471551.77388731245</v>
      </c>
      <c r="N205" s="12">
        <f t="shared" ca="1" si="165"/>
        <v>476515.34381640196</v>
      </c>
      <c r="O205" s="12">
        <f t="shared" ca="1" si="166"/>
        <v>404439.18877061829</v>
      </c>
      <c r="P205" s="12">
        <f t="shared" ca="1" si="167"/>
        <v>514829.95985546312</v>
      </c>
      <c r="Q205" s="12">
        <f t="shared" ca="1" si="168"/>
        <v>567101.54681209638</v>
      </c>
      <c r="R205" s="12">
        <f t="shared" ca="1" si="169"/>
        <v>663614.55880511296</v>
      </c>
      <c r="S205" s="12">
        <f t="shared" ca="1" si="170"/>
        <v>700097.68942481885</v>
      </c>
      <c r="T205" s="12">
        <f t="shared" ca="1" si="171"/>
        <v>574442.40442442941</v>
      </c>
      <c r="U205" s="12">
        <f t="shared" ca="1" si="172"/>
        <v>574684.00166833436</v>
      </c>
      <c r="V205" s="12">
        <f t="shared" ca="1" si="173"/>
        <v>504354.60697611759</v>
      </c>
      <c r="W205" s="12">
        <f t="shared" ca="1" si="174"/>
        <v>551470.23231934232</v>
      </c>
      <c r="X205" s="12">
        <f t="shared" ca="1" si="175"/>
        <v>598055.51111215982</v>
      </c>
      <c r="Y205" s="12">
        <f t="shared" ca="1" si="176"/>
        <v>722957.90868436266</v>
      </c>
      <c r="Z205" s="12">
        <f t="shared" ca="1" si="177"/>
        <v>810286.15005383908</v>
      </c>
      <c r="AA205" s="12">
        <f t="shared" ca="1" si="178"/>
        <v>837498.4560562782</v>
      </c>
      <c r="AB205" s="12">
        <f t="shared" ca="1" si="179"/>
        <v>933799.4703813435</v>
      </c>
      <c r="AC205" s="12">
        <f t="shared" ca="1" si="180"/>
        <v>1041516.6149137301</v>
      </c>
      <c r="AD205" s="12">
        <f t="shared" ca="1" si="181"/>
        <v>1179038.798319608</v>
      </c>
      <c r="AE205" s="12">
        <f t="shared" ca="1" si="182"/>
        <v>1637222.4141046163</v>
      </c>
      <c r="AF205" s="12">
        <f t="shared" ca="1" si="183"/>
        <v>1834199.3978956977</v>
      </c>
      <c r="AG205" s="12">
        <f t="shared" ca="1" si="184"/>
        <v>1905015.6488581412</v>
      </c>
      <c r="AH205" s="12">
        <f t="shared" ca="1" si="185"/>
        <v>1905015.6488581412</v>
      </c>
    </row>
    <row r="206" spans="2:34" x14ac:dyDescent="0.25">
      <c r="B206" s="6">
        <v>190</v>
      </c>
      <c r="D206" s="12">
        <f t="shared" ca="1" si="155"/>
        <v>179121.73119235819</v>
      </c>
      <c r="E206" s="12">
        <f t="shared" ca="1" si="156"/>
        <v>191207.0510918682</v>
      </c>
      <c r="F206" s="12">
        <f t="shared" ca="1" si="157"/>
        <v>259000.70179198493</v>
      </c>
      <c r="G206" s="12">
        <f t="shared" ca="1" si="158"/>
        <v>284201.47280965239</v>
      </c>
      <c r="H206" s="12">
        <f t="shared" ca="1" si="159"/>
        <v>344684.22977025958</v>
      </c>
      <c r="I206" s="12">
        <f t="shared" ca="1" si="160"/>
        <v>393570.74635303428</v>
      </c>
      <c r="J206" s="12">
        <f t="shared" ca="1" si="161"/>
        <v>435222.07232108596</v>
      </c>
      <c r="K206" s="12">
        <f t="shared" ca="1" si="162"/>
        <v>449227.59724032943</v>
      </c>
      <c r="L206" s="12">
        <f t="shared" ca="1" si="163"/>
        <v>535905.12943995255</v>
      </c>
      <c r="M206" s="12">
        <f t="shared" ca="1" si="164"/>
        <v>590939.33253963501</v>
      </c>
      <c r="N206" s="12">
        <f t="shared" ca="1" si="165"/>
        <v>663509.0111115413</v>
      </c>
      <c r="O206" s="12">
        <f t="shared" ca="1" si="166"/>
        <v>691530.24469819851</v>
      </c>
      <c r="P206" s="12">
        <f t="shared" ca="1" si="167"/>
        <v>808955.54618572164</v>
      </c>
      <c r="Q206" s="12">
        <f t="shared" ca="1" si="168"/>
        <v>884509.38890565431</v>
      </c>
      <c r="R206" s="12">
        <f t="shared" ca="1" si="169"/>
        <v>1010325.4099164284</v>
      </c>
      <c r="S206" s="12">
        <f t="shared" ca="1" si="170"/>
        <v>1019278.9269746445</v>
      </c>
      <c r="T206" s="12">
        <f t="shared" ca="1" si="171"/>
        <v>1034007.3731954799</v>
      </c>
      <c r="U206" s="12">
        <f t="shared" ca="1" si="172"/>
        <v>1109235.7788091304</v>
      </c>
      <c r="V206" s="12">
        <f t="shared" ca="1" si="173"/>
        <v>1204883.5464050218</v>
      </c>
      <c r="W206" s="12">
        <f t="shared" ca="1" si="174"/>
        <v>1273875.6253580519</v>
      </c>
      <c r="X206" s="12">
        <f t="shared" ca="1" si="175"/>
        <v>1533030.589537293</v>
      </c>
      <c r="Y206" s="12">
        <f t="shared" ca="1" si="176"/>
        <v>1602991.1742933637</v>
      </c>
      <c r="Z206" s="12">
        <f t="shared" ca="1" si="177"/>
        <v>1870351.352636771</v>
      </c>
      <c r="AA206" s="12">
        <f t="shared" ca="1" si="178"/>
        <v>1629359.8385768824</v>
      </c>
      <c r="AB206" s="12">
        <f t="shared" ca="1" si="179"/>
        <v>1791751.1230194848</v>
      </c>
      <c r="AC206" s="12">
        <f t="shared" ca="1" si="180"/>
        <v>1865863.3972833627</v>
      </c>
      <c r="AD206" s="12">
        <f t="shared" ca="1" si="181"/>
        <v>1813281.6664576228</v>
      </c>
      <c r="AE206" s="12">
        <f t="shared" ca="1" si="182"/>
        <v>1953164.2351437011</v>
      </c>
      <c r="AF206" s="12">
        <f t="shared" ca="1" si="183"/>
        <v>1888221.5785551774</v>
      </c>
      <c r="AG206" s="12">
        <f t="shared" ca="1" si="184"/>
        <v>1842192.3620983027</v>
      </c>
      <c r="AH206" s="12">
        <f t="shared" ca="1" si="185"/>
        <v>1842192.3620983027</v>
      </c>
    </row>
    <row r="207" spans="2:34" x14ac:dyDescent="0.25">
      <c r="B207" s="6">
        <v>191</v>
      </c>
      <c r="D207" s="12">
        <f t="shared" ca="1" si="155"/>
        <v>140329.9221688844</v>
      </c>
      <c r="E207" s="12">
        <f t="shared" ca="1" si="156"/>
        <v>148314.25550585575</v>
      </c>
      <c r="F207" s="12">
        <f t="shared" ca="1" si="157"/>
        <v>164123.3168484694</v>
      </c>
      <c r="G207" s="12">
        <f t="shared" ca="1" si="158"/>
        <v>193725.2109238967</v>
      </c>
      <c r="H207" s="12">
        <f t="shared" ca="1" si="159"/>
        <v>224560.97487763004</v>
      </c>
      <c r="I207" s="12">
        <f t="shared" ca="1" si="160"/>
        <v>318724.88979655498</v>
      </c>
      <c r="J207" s="12">
        <f t="shared" ca="1" si="161"/>
        <v>413555.06167261262</v>
      </c>
      <c r="K207" s="12">
        <f t="shared" ca="1" si="162"/>
        <v>435809.93532714236</v>
      </c>
      <c r="L207" s="12">
        <f t="shared" ca="1" si="163"/>
        <v>532105.49052713159</v>
      </c>
      <c r="M207" s="12">
        <f t="shared" ca="1" si="164"/>
        <v>592006.83192777529</v>
      </c>
      <c r="N207" s="12">
        <f t="shared" ca="1" si="165"/>
        <v>675718.40986726002</v>
      </c>
      <c r="O207" s="12">
        <f t="shared" ca="1" si="166"/>
        <v>637383.41504910437</v>
      </c>
      <c r="P207" s="12">
        <f t="shared" ca="1" si="167"/>
        <v>716272.7256572817</v>
      </c>
      <c r="Q207" s="12">
        <f t="shared" ca="1" si="168"/>
        <v>816942.68247100909</v>
      </c>
      <c r="R207" s="12">
        <f t="shared" ca="1" si="169"/>
        <v>814425.08741079934</v>
      </c>
      <c r="S207" s="12">
        <f t="shared" ca="1" si="170"/>
        <v>926873.97215711954</v>
      </c>
      <c r="T207" s="12">
        <f t="shared" ca="1" si="171"/>
        <v>862647.24533614214</v>
      </c>
      <c r="U207" s="12">
        <f t="shared" ca="1" si="172"/>
        <v>885509.71586909413</v>
      </c>
      <c r="V207" s="12">
        <f t="shared" ca="1" si="173"/>
        <v>1049914.9962925243</v>
      </c>
      <c r="W207" s="12">
        <f t="shared" ca="1" si="174"/>
        <v>1199498.9212075109</v>
      </c>
      <c r="X207" s="12">
        <f t="shared" ca="1" si="175"/>
        <v>1304420.9252523971</v>
      </c>
      <c r="Y207" s="12">
        <f t="shared" ca="1" si="176"/>
        <v>1526433.5615643207</v>
      </c>
      <c r="Z207" s="12">
        <f t="shared" ca="1" si="177"/>
        <v>1608004.2938335403</v>
      </c>
      <c r="AA207" s="12">
        <f t="shared" ca="1" si="178"/>
        <v>1638110.8220487162</v>
      </c>
      <c r="AB207" s="12">
        <f t="shared" ca="1" si="179"/>
        <v>1425070.3645343136</v>
      </c>
      <c r="AC207" s="12">
        <f t="shared" ca="1" si="180"/>
        <v>1691850.9067191186</v>
      </c>
      <c r="AD207" s="12">
        <f t="shared" ca="1" si="181"/>
        <v>1691304.7372618529</v>
      </c>
      <c r="AE207" s="12">
        <f t="shared" ca="1" si="182"/>
        <v>1724804.7260145796</v>
      </c>
      <c r="AF207" s="12">
        <f t="shared" ca="1" si="183"/>
        <v>1635970.9772251705</v>
      </c>
      <c r="AG207" s="12">
        <f t="shared" ca="1" si="184"/>
        <v>1923077.4101889622</v>
      </c>
      <c r="AH207" s="12">
        <f t="shared" ca="1" si="185"/>
        <v>1923077.4101889622</v>
      </c>
    </row>
    <row r="208" spans="2:34" x14ac:dyDescent="0.25">
      <c r="B208" s="6">
        <v>192</v>
      </c>
      <c r="D208" s="12">
        <f t="shared" ca="1" si="155"/>
        <v>206192.64287045485</v>
      </c>
      <c r="E208" s="12">
        <f t="shared" ca="1" si="156"/>
        <v>209093.45618436509</v>
      </c>
      <c r="F208" s="12">
        <f t="shared" ca="1" si="157"/>
        <v>268781.85756545881</v>
      </c>
      <c r="G208" s="12">
        <f t="shared" ca="1" si="158"/>
        <v>311231.73751391063</v>
      </c>
      <c r="H208" s="12">
        <f t="shared" ca="1" si="159"/>
        <v>334018.41909742961</v>
      </c>
      <c r="I208" s="12">
        <f t="shared" ca="1" si="160"/>
        <v>309743.08258374472</v>
      </c>
      <c r="J208" s="12">
        <f t="shared" ca="1" si="161"/>
        <v>399582.53966803197</v>
      </c>
      <c r="K208" s="12">
        <f t="shared" ca="1" si="162"/>
        <v>464097.34496930824</v>
      </c>
      <c r="L208" s="12">
        <f t="shared" ca="1" si="163"/>
        <v>488310.22170879581</v>
      </c>
      <c r="M208" s="12">
        <f t="shared" ca="1" si="164"/>
        <v>549958.68722900795</v>
      </c>
      <c r="N208" s="12">
        <f t="shared" ca="1" si="165"/>
        <v>470749.51809996885</v>
      </c>
      <c r="O208" s="12">
        <f t="shared" ca="1" si="166"/>
        <v>557994.62905770482</v>
      </c>
      <c r="P208" s="12">
        <f t="shared" ca="1" si="167"/>
        <v>540941.2622201324</v>
      </c>
      <c r="Q208" s="12">
        <f t="shared" ca="1" si="168"/>
        <v>603914.80283773551</v>
      </c>
      <c r="R208" s="12">
        <f t="shared" ca="1" si="169"/>
        <v>742675.99146018107</v>
      </c>
      <c r="S208" s="12">
        <f t="shared" ca="1" si="170"/>
        <v>727040.65606031311</v>
      </c>
      <c r="T208" s="12">
        <f t="shared" ca="1" si="171"/>
        <v>849257.91038679401</v>
      </c>
      <c r="U208" s="12">
        <f t="shared" ca="1" si="172"/>
        <v>1104626.5574954432</v>
      </c>
      <c r="V208" s="12">
        <f t="shared" ca="1" si="173"/>
        <v>1323797.4458997948</v>
      </c>
      <c r="W208" s="12">
        <f t="shared" ca="1" si="174"/>
        <v>1403065.6628578526</v>
      </c>
      <c r="X208" s="12">
        <f t="shared" ca="1" si="175"/>
        <v>1588858.1333311889</v>
      </c>
      <c r="Y208" s="12">
        <f t="shared" ca="1" si="176"/>
        <v>1885941.9626703942</v>
      </c>
      <c r="Z208" s="12">
        <f t="shared" ca="1" si="177"/>
        <v>2122771.264657638</v>
      </c>
      <c r="AA208" s="12">
        <f t="shared" ca="1" si="178"/>
        <v>1973233.7820155844</v>
      </c>
      <c r="AB208" s="12">
        <f t="shared" ca="1" si="179"/>
        <v>2327466.4787965477</v>
      </c>
      <c r="AC208" s="12">
        <f t="shared" ca="1" si="180"/>
        <v>2264492.0147761814</v>
      </c>
      <c r="AD208" s="12">
        <f t="shared" ca="1" si="181"/>
        <v>2386100.7878674236</v>
      </c>
      <c r="AE208" s="12">
        <f t="shared" ca="1" si="182"/>
        <v>2478927.8470147732</v>
      </c>
      <c r="AF208" s="12">
        <f t="shared" ca="1" si="183"/>
        <v>2840443.7292638971</v>
      </c>
      <c r="AG208" s="12">
        <f t="shared" ca="1" si="184"/>
        <v>3518050.1394228013</v>
      </c>
      <c r="AH208" s="12">
        <f t="shared" ca="1" si="185"/>
        <v>3518050.1394228013</v>
      </c>
    </row>
    <row r="209" spans="2:34" x14ac:dyDescent="0.25">
      <c r="B209" s="6">
        <v>193</v>
      </c>
      <c r="D209" s="12">
        <f t="shared" ref="D209:D216" ca="1" si="186">$C$5*(1+NORMINV(RAND(),$C$8,$C$9))+$C$6</f>
        <v>139351.58719622949</v>
      </c>
      <c r="E209" s="12">
        <f t="shared" ref="E209:E240" ca="1" si="187">D209*(1+NORMINV(RAND(),$C$8,$C$9))+$C$6*(1+$C$7)^1</f>
        <v>152607.9458917501</v>
      </c>
      <c r="F209" s="12">
        <f t="shared" ref="F209:F240" ca="1" si="188">E209*(1+NORMINV(RAND(),$C$8,$C$9))+$C$6*(1+$C$7)^2</f>
        <v>183127.30336769205</v>
      </c>
      <c r="G209" s="12">
        <f t="shared" ref="G209:G240" ca="1" si="189">F209*(1+NORMINV(RAND(),$C$8,$C$9))+$C$6*(1+$C$7)^3</f>
        <v>214168.26180796608</v>
      </c>
      <c r="H209" s="12">
        <f t="shared" ref="H209:H240" ca="1" si="190">G209*(1+NORMINV(RAND(),$C$8,$C$9))+$C$6*(1+$C$7)^4</f>
        <v>278250.17077708989</v>
      </c>
      <c r="I209" s="12">
        <f t="shared" ref="I209:I240" ca="1" si="191">H209*(1+NORMINV(RAND(),$C$8,$C$9))+$C$6*(1+$C$7)^5</f>
        <v>332149.35272646724</v>
      </c>
      <c r="J209" s="12">
        <f t="shared" ref="J209:J240" ca="1" si="192">I209*(1+NORMINV(RAND(),$C$8,$C$9))+$C$6*(1+$C$7)^6</f>
        <v>371841.53674170247</v>
      </c>
      <c r="K209" s="12">
        <f t="shared" ref="K209:K240" ca="1" si="193">J209*(1+NORMINV(RAND(),$C$8,$C$9))+$C$6*(1+$C$7)^7</f>
        <v>422372.4949486542</v>
      </c>
      <c r="L209" s="12">
        <f t="shared" ref="L209:L240" ca="1" si="194">K209*(1+NORMINV(RAND(),$C$8,$C$9))+$C$6*(1+$C$7)^8</f>
        <v>517688.53527896386</v>
      </c>
      <c r="M209" s="12">
        <f t="shared" ref="M209:M240" ca="1" si="195">L209*(1+NORMINV(RAND(),$C$8,$C$9))+$C$6*(1+$C$7)^9</f>
        <v>679079.55674958555</v>
      </c>
      <c r="N209" s="12">
        <f t="shared" ref="N209:N240" ca="1" si="196">M209*(1+NORMINV(RAND(),$C$8,$C$9))+$C$6*(1+$C$7)^10</f>
        <v>849317.02247065364</v>
      </c>
      <c r="O209" s="12">
        <f t="shared" ref="O209:O240" ca="1" si="197">N209*(1+NORMINV(RAND(),$C$8,$C$9))+$C$6*(1+$C$7)^11</f>
        <v>1004877.6320957384</v>
      </c>
      <c r="P209" s="12">
        <f t="shared" ref="P209:P240" ca="1" si="198">O209*(1+NORMINV(RAND(),$C$8,$C$9))+$C$6*(1+$C$7)^12</f>
        <v>1258203.8337727604</v>
      </c>
      <c r="Q209" s="12">
        <f t="shared" ref="Q209:Q240" ca="1" si="199">P209*(1+NORMINV(RAND(),$C$8,$C$9))+$C$6*(1+$C$7)^13</f>
        <v>1569087.0004131957</v>
      </c>
      <c r="R209" s="12">
        <f t="shared" ref="R209:R240" ca="1" si="200">Q209*(1+NORMINV(RAND(),$C$8,$C$9))+$C$6*(1+$C$7)^14</f>
        <v>1785680.0467092202</v>
      </c>
      <c r="S209" s="12">
        <f t="shared" ref="S209:S240" ca="1" si="201">R209*(1+NORMINV(RAND(),$C$8,$C$9))+$C$6*(1+$C$7)^15</f>
        <v>1833015.6832477516</v>
      </c>
      <c r="T209" s="12">
        <f t="shared" ref="T209:T240" ca="1" si="202">S209*(1+NORMINV(RAND(),$C$8,$C$9))+$C$6*(1+$C$7)^16</f>
        <v>1847681.5111351605</v>
      </c>
      <c r="U209" s="12">
        <f t="shared" ref="U209:U240" ca="1" si="203">T209*(1+NORMINV(RAND(),$C$8,$C$9))+$C$6*(1+$C$7)^17</f>
        <v>1795276.0028695532</v>
      </c>
      <c r="V209" s="12">
        <f t="shared" ref="V209:V240" ca="1" si="204">U209*(1+NORMINV(RAND(),$C$8,$C$9))+$C$6*(1+$C$7)^18</f>
        <v>1809198.3773614401</v>
      </c>
      <c r="W209" s="12">
        <f t="shared" ref="W209:W240" ca="1" si="205">V209*(1+NORMINV(RAND(),$C$8,$C$9))+$C$6*(1+$C$7)^19</f>
        <v>2344518.5523265563</v>
      </c>
      <c r="X209" s="12">
        <f t="shared" ref="X209:X240" ca="1" si="206">W209*(1+NORMINV(RAND(),$C$8,$C$9))+$C$6*(1+$C$7)^20</f>
        <v>2866183.2583250133</v>
      </c>
      <c r="Y209" s="12">
        <f t="shared" ref="Y209:Y240" ca="1" si="207">X209*(1+NORMINV(RAND(),$C$8,$C$9))+$C$6*(1+$C$7)^21</f>
        <v>3097350.26257115</v>
      </c>
      <c r="Z209" s="12">
        <f t="shared" ref="Z209:Z240" ca="1" si="208">Y209*(1+NORMINV(RAND(),$C$8,$C$9))+$C$6*(1+$C$7)^22</f>
        <v>3332702.3463988686</v>
      </c>
      <c r="AA209" s="12">
        <f t="shared" ref="AA209:AA240" ca="1" si="209">Z209*(1+NORMINV(RAND(),$C$8,$C$9))+$C$6*(1+$C$7)^23</f>
        <v>4186391.6897540619</v>
      </c>
      <c r="AB209" s="12">
        <f t="shared" ref="AB209:AB240" ca="1" si="210">AA209*(1+NORMINV(RAND(),$C$8,$C$9))+$C$6*(1+$C$7)^24</f>
        <v>5121569.6093662502</v>
      </c>
      <c r="AC209" s="12">
        <f t="shared" ref="AC209:AC240" ca="1" si="211">AB209*(1+NORMINV(RAND(),$C$8,$C$9))+$C$6*(1+$C$7)^25</f>
        <v>5950430.4096350968</v>
      </c>
      <c r="AD209" s="12">
        <f t="shared" ref="AD209:AD240" ca="1" si="212">AC209*(1+NORMINV(RAND(),$C$8,$C$9))+$C$6*(1+$C$7)^26</f>
        <v>5616943.7957168864</v>
      </c>
      <c r="AE209" s="12">
        <f t="shared" ref="AE209:AE240" ca="1" si="213">AD209*(1+NORMINV(RAND(),$C$8,$C$9))+$C$6*(1+$C$7)^27</f>
        <v>5802810.4389035255</v>
      </c>
      <c r="AF209" s="12">
        <f t="shared" ref="AF209:AF240" ca="1" si="214">AE209*(1+NORMINV(RAND(),$C$8,$C$9))+$C$6*(1+$C$7)^28</f>
        <v>5550898.5640820526</v>
      </c>
      <c r="AG209" s="12">
        <f t="shared" ref="AG209:AG240" ca="1" si="215">AF209*(1+NORMINV(RAND(),$C$8,$C$9))+$C$6*(1+$C$7)^29</f>
        <v>5729360.3541308781</v>
      </c>
      <c r="AH209" s="12">
        <f t="shared" ref="AH209:AH240" ca="1" si="216">AG209</f>
        <v>5729360.3541308781</v>
      </c>
    </row>
    <row r="210" spans="2:34" x14ac:dyDescent="0.25">
      <c r="B210" s="6">
        <v>194</v>
      </c>
      <c r="D210" s="12">
        <f t="shared" ca="1" si="186"/>
        <v>201873.00001304175</v>
      </c>
      <c r="E210" s="12">
        <f t="shared" ca="1" si="187"/>
        <v>221290.84287169704</v>
      </c>
      <c r="F210" s="12">
        <f t="shared" ca="1" si="188"/>
        <v>256738.25159769051</v>
      </c>
      <c r="G210" s="12">
        <f t="shared" ca="1" si="189"/>
        <v>306469.31639212102</v>
      </c>
      <c r="H210" s="12">
        <f t="shared" ca="1" si="190"/>
        <v>317268.18689362373</v>
      </c>
      <c r="I210" s="12">
        <f t="shared" ca="1" si="191"/>
        <v>346252.15757201891</v>
      </c>
      <c r="J210" s="12">
        <f t="shared" ca="1" si="192"/>
        <v>423895.5309649001</v>
      </c>
      <c r="K210" s="12">
        <f t="shared" ca="1" si="193"/>
        <v>514616.75173931872</v>
      </c>
      <c r="L210" s="12">
        <f t="shared" ca="1" si="194"/>
        <v>676735.96161313809</v>
      </c>
      <c r="M210" s="12">
        <f t="shared" ca="1" si="195"/>
        <v>747639.28189884278</v>
      </c>
      <c r="N210" s="12">
        <f t="shared" ca="1" si="196"/>
        <v>836194.82279727561</v>
      </c>
      <c r="O210" s="12">
        <f t="shared" ca="1" si="197"/>
        <v>816695.9190438051</v>
      </c>
      <c r="P210" s="12">
        <f t="shared" ca="1" si="198"/>
        <v>787001.32389929821</v>
      </c>
      <c r="Q210" s="12">
        <f t="shared" ca="1" si="199"/>
        <v>844960.63319681608</v>
      </c>
      <c r="R210" s="12">
        <f t="shared" ca="1" si="200"/>
        <v>850413.0778158874</v>
      </c>
      <c r="S210" s="12">
        <f t="shared" ca="1" si="201"/>
        <v>740322.05111964326</v>
      </c>
      <c r="T210" s="12">
        <f t="shared" ca="1" si="202"/>
        <v>836180.58183449798</v>
      </c>
      <c r="U210" s="12">
        <f t="shared" ca="1" si="203"/>
        <v>854674.31921696477</v>
      </c>
      <c r="V210" s="12">
        <f t="shared" ca="1" si="204"/>
        <v>1069796.9385265936</v>
      </c>
      <c r="W210" s="12">
        <f t="shared" ca="1" si="205"/>
        <v>1095342.0330786104</v>
      </c>
      <c r="X210" s="12">
        <f t="shared" ca="1" si="206"/>
        <v>1266885.1454401677</v>
      </c>
      <c r="Y210" s="12">
        <f t="shared" ca="1" si="207"/>
        <v>1176057.2510851906</v>
      </c>
      <c r="Z210" s="12">
        <f t="shared" ca="1" si="208"/>
        <v>1354242.3549741898</v>
      </c>
      <c r="AA210" s="12">
        <f t="shared" ca="1" si="209"/>
        <v>1595224.8782553766</v>
      </c>
      <c r="AB210" s="12">
        <f t="shared" ca="1" si="210"/>
        <v>1548420.095796671</v>
      </c>
      <c r="AC210" s="12">
        <f t="shared" ca="1" si="211"/>
        <v>1711579.8865336298</v>
      </c>
      <c r="AD210" s="12">
        <f t="shared" ca="1" si="212"/>
        <v>1389670.4000616425</v>
      </c>
      <c r="AE210" s="12">
        <f t="shared" ca="1" si="213"/>
        <v>1345120.3167763813</v>
      </c>
      <c r="AF210" s="12">
        <f t="shared" ca="1" si="214"/>
        <v>1355468.7778683947</v>
      </c>
      <c r="AG210" s="12">
        <f t="shared" ca="1" si="215"/>
        <v>1661300.6218099189</v>
      </c>
      <c r="AH210" s="12">
        <f t="shared" ca="1" si="216"/>
        <v>1661300.6218099189</v>
      </c>
    </row>
    <row r="211" spans="2:34" x14ac:dyDescent="0.25">
      <c r="B211" s="6">
        <v>195</v>
      </c>
      <c r="D211" s="12">
        <f t="shared" ca="1" si="186"/>
        <v>226429.84190967694</v>
      </c>
      <c r="E211" s="12">
        <f t="shared" ca="1" si="187"/>
        <v>238496.97687796317</v>
      </c>
      <c r="F211" s="12">
        <f t="shared" ca="1" si="188"/>
        <v>233482.75043129351</v>
      </c>
      <c r="G211" s="12">
        <f t="shared" ca="1" si="189"/>
        <v>285014.22235363285</v>
      </c>
      <c r="H211" s="12">
        <f t="shared" ca="1" si="190"/>
        <v>303559.28219165769</v>
      </c>
      <c r="I211" s="12">
        <f t="shared" ca="1" si="191"/>
        <v>269866.65752038622</v>
      </c>
      <c r="J211" s="12">
        <f t="shared" ca="1" si="192"/>
        <v>308391.22503864736</v>
      </c>
      <c r="K211" s="12">
        <f t="shared" ca="1" si="193"/>
        <v>387517.32876284991</v>
      </c>
      <c r="L211" s="12">
        <f t="shared" ca="1" si="194"/>
        <v>451536.46572703833</v>
      </c>
      <c r="M211" s="12">
        <f t="shared" ca="1" si="195"/>
        <v>486857.06358874019</v>
      </c>
      <c r="N211" s="12">
        <f t="shared" ca="1" si="196"/>
        <v>532343.75453411962</v>
      </c>
      <c r="O211" s="12">
        <f t="shared" ca="1" si="197"/>
        <v>584814.98442863394</v>
      </c>
      <c r="P211" s="12">
        <f t="shared" ca="1" si="198"/>
        <v>706231.55483353278</v>
      </c>
      <c r="Q211" s="12">
        <f t="shared" ca="1" si="199"/>
        <v>800505.79354588536</v>
      </c>
      <c r="R211" s="12">
        <f t="shared" ca="1" si="200"/>
        <v>913529.54291875777</v>
      </c>
      <c r="S211" s="12">
        <f t="shared" ca="1" si="201"/>
        <v>891254.05252588575</v>
      </c>
      <c r="T211" s="12">
        <f t="shared" ca="1" si="202"/>
        <v>1040399.0596294625</v>
      </c>
      <c r="U211" s="12">
        <f t="shared" ca="1" si="203"/>
        <v>1265657.3250331434</v>
      </c>
      <c r="V211" s="12">
        <f t="shared" ca="1" si="204"/>
        <v>1319984.6128780735</v>
      </c>
      <c r="W211" s="12">
        <f t="shared" ca="1" si="205"/>
        <v>1472619.554042293</v>
      </c>
      <c r="X211" s="12">
        <f t="shared" ca="1" si="206"/>
        <v>1699050.4506956874</v>
      </c>
      <c r="Y211" s="12">
        <f t="shared" ca="1" si="207"/>
        <v>1670941.8864200446</v>
      </c>
      <c r="Z211" s="12">
        <f t="shared" ca="1" si="208"/>
        <v>1662041.3244283653</v>
      </c>
      <c r="AA211" s="12">
        <f t="shared" ca="1" si="209"/>
        <v>1684477.7340907969</v>
      </c>
      <c r="AB211" s="12">
        <f t="shared" ca="1" si="210"/>
        <v>1927516.2143898439</v>
      </c>
      <c r="AC211" s="12">
        <f t="shared" ca="1" si="211"/>
        <v>2238070.0679642842</v>
      </c>
      <c r="AD211" s="12">
        <f t="shared" ca="1" si="212"/>
        <v>2470885.4392543822</v>
      </c>
      <c r="AE211" s="12">
        <f t="shared" ca="1" si="213"/>
        <v>2276395.6796337767</v>
      </c>
      <c r="AF211" s="12">
        <f t="shared" ca="1" si="214"/>
        <v>2148481.7740116632</v>
      </c>
      <c r="AG211" s="12">
        <f t="shared" ca="1" si="215"/>
        <v>2517648.117270852</v>
      </c>
      <c r="AH211" s="12">
        <f t="shared" ca="1" si="216"/>
        <v>2517648.117270852</v>
      </c>
    </row>
    <row r="212" spans="2:34" x14ac:dyDescent="0.25">
      <c r="B212" s="6">
        <v>196</v>
      </c>
      <c r="D212" s="12">
        <f t="shared" ca="1" si="186"/>
        <v>184342.69665460681</v>
      </c>
      <c r="E212" s="12">
        <f t="shared" ca="1" si="187"/>
        <v>218115.44740977365</v>
      </c>
      <c r="F212" s="12">
        <f t="shared" ca="1" si="188"/>
        <v>228329.57696034494</v>
      </c>
      <c r="G212" s="12">
        <f t="shared" ca="1" si="189"/>
        <v>240412.17061068778</v>
      </c>
      <c r="H212" s="12">
        <f t="shared" ca="1" si="190"/>
        <v>310894.65411516681</v>
      </c>
      <c r="I212" s="12">
        <f t="shared" ca="1" si="191"/>
        <v>365162.96313330968</v>
      </c>
      <c r="J212" s="12">
        <f t="shared" ca="1" si="192"/>
        <v>426446.10017959506</v>
      </c>
      <c r="K212" s="12">
        <f t="shared" ca="1" si="193"/>
        <v>571224.87575480237</v>
      </c>
      <c r="L212" s="12">
        <f t="shared" ca="1" si="194"/>
        <v>570440.70432865014</v>
      </c>
      <c r="M212" s="12">
        <f t="shared" ca="1" si="195"/>
        <v>669560.80522899341</v>
      </c>
      <c r="N212" s="12">
        <f t="shared" ca="1" si="196"/>
        <v>822067.81662011333</v>
      </c>
      <c r="O212" s="12">
        <f t="shared" ca="1" si="197"/>
        <v>848728.36211780261</v>
      </c>
      <c r="P212" s="12">
        <f t="shared" ca="1" si="198"/>
        <v>865604.5702283734</v>
      </c>
      <c r="Q212" s="12">
        <f t="shared" ca="1" si="199"/>
        <v>889798.56186399574</v>
      </c>
      <c r="R212" s="12">
        <f t="shared" ca="1" si="200"/>
        <v>1029557.3280365875</v>
      </c>
      <c r="S212" s="12">
        <f t="shared" ca="1" si="201"/>
        <v>1090289.3102761977</v>
      </c>
      <c r="T212" s="12">
        <f t="shared" ca="1" si="202"/>
        <v>1053042.9900805149</v>
      </c>
      <c r="U212" s="12">
        <f t="shared" ca="1" si="203"/>
        <v>1145564.7151388114</v>
      </c>
      <c r="V212" s="12">
        <f t="shared" ca="1" si="204"/>
        <v>1190636.3569153228</v>
      </c>
      <c r="W212" s="12">
        <f t="shared" ca="1" si="205"/>
        <v>1183503.9840633983</v>
      </c>
      <c r="X212" s="12">
        <f t="shared" ca="1" si="206"/>
        <v>1288929.9579987903</v>
      </c>
      <c r="Y212" s="12">
        <f t="shared" ca="1" si="207"/>
        <v>1481698.3679321087</v>
      </c>
      <c r="Z212" s="12">
        <f t="shared" ca="1" si="208"/>
        <v>1727708.4731980346</v>
      </c>
      <c r="AA212" s="12">
        <f t="shared" ca="1" si="209"/>
        <v>1599146.5047813016</v>
      </c>
      <c r="AB212" s="12">
        <f t="shared" ca="1" si="210"/>
        <v>1683166.4472589155</v>
      </c>
      <c r="AC212" s="12">
        <f t="shared" ca="1" si="211"/>
        <v>1617850.6686279585</v>
      </c>
      <c r="AD212" s="12">
        <f t="shared" ca="1" si="212"/>
        <v>1905984.0105570601</v>
      </c>
      <c r="AE212" s="12">
        <f t="shared" ca="1" si="213"/>
        <v>1780508.5733051058</v>
      </c>
      <c r="AF212" s="12">
        <f t="shared" ca="1" si="214"/>
        <v>1654360.7486897507</v>
      </c>
      <c r="AG212" s="12">
        <f t="shared" ca="1" si="215"/>
        <v>1859770.1132143608</v>
      </c>
      <c r="AH212" s="12">
        <f t="shared" ca="1" si="216"/>
        <v>1859770.1132143608</v>
      </c>
    </row>
    <row r="213" spans="2:34" x14ac:dyDescent="0.25">
      <c r="B213" s="6">
        <v>197</v>
      </c>
      <c r="D213" s="12">
        <f t="shared" ca="1" si="186"/>
        <v>180334.76712665835</v>
      </c>
      <c r="E213" s="12">
        <f t="shared" ca="1" si="187"/>
        <v>203611.56432243454</v>
      </c>
      <c r="F213" s="12">
        <f t="shared" ca="1" si="188"/>
        <v>246517.79285837943</v>
      </c>
      <c r="G213" s="12">
        <f t="shared" ca="1" si="189"/>
        <v>297846.22649093217</v>
      </c>
      <c r="H213" s="12">
        <f t="shared" ca="1" si="190"/>
        <v>367420.28970768949</v>
      </c>
      <c r="I213" s="12">
        <f t="shared" ca="1" si="191"/>
        <v>423804.50474976277</v>
      </c>
      <c r="J213" s="12">
        <f t="shared" ca="1" si="192"/>
        <v>494256.19095269212</v>
      </c>
      <c r="K213" s="12">
        <f t="shared" ca="1" si="193"/>
        <v>447567.24773029407</v>
      </c>
      <c r="L213" s="12">
        <f t="shared" ca="1" si="194"/>
        <v>530248.92095166445</v>
      </c>
      <c r="M213" s="12">
        <f t="shared" ca="1" si="195"/>
        <v>539830.56561281998</v>
      </c>
      <c r="N213" s="12">
        <f t="shared" ca="1" si="196"/>
        <v>585563.39182640251</v>
      </c>
      <c r="O213" s="12">
        <f t="shared" ca="1" si="197"/>
        <v>650342.95385665912</v>
      </c>
      <c r="P213" s="12">
        <f t="shared" ca="1" si="198"/>
        <v>707592.95164973359</v>
      </c>
      <c r="Q213" s="12">
        <f t="shared" ca="1" si="199"/>
        <v>784786.04845217825</v>
      </c>
      <c r="R213" s="12">
        <f t="shared" ca="1" si="200"/>
        <v>816410.03160912252</v>
      </c>
      <c r="S213" s="12">
        <f t="shared" ca="1" si="201"/>
        <v>963998.96184001805</v>
      </c>
      <c r="T213" s="12">
        <f t="shared" ca="1" si="202"/>
        <v>952335.68484147161</v>
      </c>
      <c r="U213" s="12">
        <f t="shared" ca="1" si="203"/>
        <v>1026790.8839402484</v>
      </c>
      <c r="V213" s="12">
        <f t="shared" ca="1" si="204"/>
        <v>1057266.6737928025</v>
      </c>
      <c r="W213" s="12">
        <f t="shared" ca="1" si="205"/>
        <v>1208743.358856627</v>
      </c>
      <c r="X213" s="12">
        <f t="shared" ca="1" si="206"/>
        <v>1227150.9186778688</v>
      </c>
      <c r="Y213" s="12">
        <f t="shared" ca="1" si="207"/>
        <v>1499522.2390260918</v>
      </c>
      <c r="Z213" s="12">
        <f t="shared" ca="1" si="208"/>
        <v>1539222.8361391388</v>
      </c>
      <c r="AA213" s="12">
        <f t="shared" ca="1" si="209"/>
        <v>1786052.5660971445</v>
      </c>
      <c r="AB213" s="12">
        <f t="shared" ca="1" si="210"/>
        <v>2018721.9869332316</v>
      </c>
      <c r="AC213" s="12">
        <f t="shared" ca="1" si="211"/>
        <v>2361293.3836695109</v>
      </c>
      <c r="AD213" s="12">
        <f t="shared" ca="1" si="212"/>
        <v>2227213.1766118961</v>
      </c>
      <c r="AE213" s="12">
        <f t="shared" ca="1" si="213"/>
        <v>2222071.8397233393</v>
      </c>
      <c r="AF213" s="12">
        <f t="shared" ca="1" si="214"/>
        <v>2872352.5498360749</v>
      </c>
      <c r="AG213" s="12">
        <f t="shared" ca="1" si="215"/>
        <v>2975329.0102228993</v>
      </c>
      <c r="AH213" s="12">
        <f t="shared" ca="1" si="216"/>
        <v>2975329.0102228993</v>
      </c>
    </row>
    <row r="214" spans="2:34" x14ac:dyDescent="0.25">
      <c r="B214" s="6">
        <v>198</v>
      </c>
      <c r="D214" s="12">
        <f t="shared" ca="1" si="186"/>
        <v>180583.36990910064</v>
      </c>
      <c r="E214" s="12">
        <f t="shared" ca="1" si="187"/>
        <v>230016.72167168604</v>
      </c>
      <c r="F214" s="12">
        <f t="shared" ca="1" si="188"/>
        <v>286063.40429274121</v>
      </c>
      <c r="G214" s="12">
        <f t="shared" ca="1" si="189"/>
        <v>368616.78757090872</v>
      </c>
      <c r="H214" s="12">
        <f t="shared" ca="1" si="190"/>
        <v>391499.83925818233</v>
      </c>
      <c r="I214" s="12">
        <f t="shared" ca="1" si="191"/>
        <v>419279.31415267807</v>
      </c>
      <c r="J214" s="12">
        <f t="shared" ca="1" si="192"/>
        <v>392687.33083692758</v>
      </c>
      <c r="K214" s="12">
        <f t="shared" ca="1" si="193"/>
        <v>487167.76751259569</v>
      </c>
      <c r="L214" s="12">
        <f t="shared" ca="1" si="194"/>
        <v>498408.67520168418</v>
      </c>
      <c r="M214" s="12">
        <f t="shared" ca="1" si="195"/>
        <v>585021.98440459417</v>
      </c>
      <c r="N214" s="12">
        <f t="shared" ca="1" si="196"/>
        <v>651671.8395223174</v>
      </c>
      <c r="O214" s="12">
        <f t="shared" ca="1" si="197"/>
        <v>604056.95724079921</v>
      </c>
      <c r="P214" s="12">
        <f t="shared" ca="1" si="198"/>
        <v>647477.98536665807</v>
      </c>
      <c r="Q214" s="12">
        <f t="shared" ca="1" si="199"/>
        <v>789809.00735668046</v>
      </c>
      <c r="R214" s="12">
        <f t="shared" ca="1" si="200"/>
        <v>987864.96921870008</v>
      </c>
      <c r="S214" s="12">
        <f t="shared" ca="1" si="201"/>
        <v>1340726.6191415479</v>
      </c>
      <c r="T214" s="12">
        <f t="shared" ca="1" si="202"/>
        <v>1601858.9268739279</v>
      </c>
      <c r="U214" s="12">
        <f t="shared" ca="1" si="203"/>
        <v>1691564.9490188791</v>
      </c>
      <c r="V214" s="12">
        <f t="shared" ca="1" si="204"/>
        <v>1964396.2814235233</v>
      </c>
      <c r="W214" s="12">
        <f t="shared" ca="1" si="205"/>
        <v>2070204.1851417501</v>
      </c>
      <c r="X214" s="12">
        <f t="shared" ca="1" si="206"/>
        <v>2313056.1369970823</v>
      </c>
      <c r="Y214" s="12">
        <f t="shared" ca="1" si="207"/>
        <v>2701016.7263591746</v>
      </c>
      <c r="Z214" s="12">
        <f t="shared" ca="1" si="208"/>
        <v>3166238.2908383384</v>
      </c>
      <c r="AA214" s="12">
        <f t="shared" ca="1" si="209"/>
        <v>3384070.5429288661</v>
      </c>
      <c r="AB214" s="12">
        <f t="shared" ca="1" si="210"/>
        <v>4097280.3584349756</v>
      </c>
      <c r="AC214" s="12">
        <f t="shared" ca="1" si="211"/>
        <v>3669333.5777174109</v>
      </c>
      <c r="AD214" s="12">
        <f t="shared" ca="1" si="212"/>
        <v>3836742.3673752029</v>
      </c>
      <c r="AE214" s="12">
        <f t="shared" ca="1" si="213"/>
        <v>3728535.608951428</v>
      </c>
      <c r="AF214" s="12">
        <f t="shared" ca="1" si="214"/>
        <v>4182356.7074567331</v>
      </c>
      <c r="AG214" s="12">
        <f t="shared" ca="1" si="215"/>
        <v>4449876.2696955437</v>
      </c>
      <c r="AH214" s="12">
        <f t="shared" ca="1" si="216"/>
        <v>4449876.2696955437</v>
      </c>
    </row>
    <row r="215" spans="2:34" x14ac:dyDescent="0.25">
      <c r="B215" s="6">
        <v>199</v>
      </c>
      <c r="D215" s="12">
        <f t="shared" ca="1" si="186"/>
        <v>207367.27301444171</v>
      </c>
      <c r="E215" s="12">
        <f t="shared" ca="1" si="187"/>
        <v>269569.19533156377</v>
      </c>
      <c r="F215" s="12">
        <f t="shared" ca="1" si="188"/>
        <v>296476.24571191909</v>
      </c>
      <c r="G215" s="12">
        <f t="shared" ca="1" si="189"/>
        <v>335969.28907867434</v>
      </c>
      <c r="H215" s="12">
        <f t="shared" ca="1" si="190"/>
        <v>382068.97999915405</v>
      </c>
      <c r="I215" s="12">
        <f t="shared" ca="1" si="191"/>
        <v>458903.55757710582</v>
      </c>
      <c r="J215" s="12">
        <f t="shared" ca="1" si="192"/>
        <v>499689.44738705421</v>
      </c>
      <c r="K215" s="12">
        <f t="shared" ca="1" si="193"/>
        <v>553559.86550879304</v>
      </c>
      <c r="L215" s="12">
        <f t="shared" ca="1" si="194"/>
        <v>567628.36488877307</v>
      </c>
      <c r="M215" s="12">
        <f t="shared" ca="1" si="195"/>
        <v>660621.645743442</v>
      </c>
      <c r="N215" s="12">
        <f t="shared" ca="1" si="196"/>
        <v>798618.84344912262</v>
      </c>
      <c r="O215" s="12">
        <f t="shared" ca="1" si="197"/>
        <v>938675.23918814363</v>
      </c>
      <c r="P215" s="12">
        <f t="shared" ca="1" si="198"/>
        <v>1038853.9664874668</v>
      </c>
      <c r="Q215" s="12">
        <f t="shared" ca="1" si="199"/>
        <v>1040337.3219849437</v>
      </c>
      <c r="R215" s="12">
        <f t="shared" ca="1" si="200"/>
        <v>1120594.246527825</v>
      </c>
      <c r="S215" s="12">
        <f t="shared" ca="1" si="201"/>
        <v>1264215.3979405111</v>
      </c>
      <c r="T215" s="12">
        <f t="shared" ca="1" si="202"/>
        <v>1419616.0495056219</v>
      </c>
      <c r="U215" s="12">
        <f t="shared" ca="1" si="203"/>
        <v>1714805.2728517114</v>
      </c>
      <c r="V215" s="12">
        <f t="shared" ca="1" si="204"/>
        <v>2078550.8042580318</v>
      </c>
      <c r="W215" s="12">
        <f t="shared" ca="1" si="205"/>
        <v>2170886.4305616524</v>
      </c>
      <c r="X215" s="12">
        <f t="shared" ca="1" si="206"/>
        <v>2101084.802329218</v>
      </c>
      <c r="Y215" s="12">
        <f t="shared" ca="1" si="207"/>
        <v>2415911.3329835511</v>
      </c>
      <c r="Z215" s="12">
        <f t="shared" ca="1" si="208"/>
        <v>2328799.1367775179</v>
      </c>
      <c r="AA215" s="12">
        <f t="shared" ca="1" si="209"/>
        <v>2778653.140794009</v>
      </c>
      <c r="AB215" s="12">
        <f t="shared" ca="1" si="210"/>
        <v>2881026.5019371305</v>
      </c>
      <c r="AC215" s="12">
        <f t="shared" ca="1" si="211"/>
        <v>3267159.4879216561</v>
      </c>
      <c r="AD215" s="12">
        <f t="shared" ca="1" si="212"/>
        <v>3559658.1068656668</v>
      </c>
      <c r="AE215" s="12">
        <f t="shared" ca="1" si="213"/>
        <v>4795544.4813785646</v>
      </c>
      <c r="AF215" s="12">
        <f t="shared" ca="1" si="214"/>
        <v>6357557.4789895378</v>
      </c>
      <c r="AG215" s="12">
        <f t="shared" ca="1" si="215"/>
        <v>6522296.6596639343</v>
      </c>
      <c r="AH215" s="12">
        <f t="shared" ca="1" si="216"/>
        <v>6522296.6596639343</v>
      </c>
    </row>
    <row r="216" spans="2:34" x14ac:dyDescent="0.25">
      <c r="B216" s="6">
        <v>200</v>
      </c>
      <c r="D216" s="12">
        <f t="shared" ca="1" si="186"/>
        <v>171657.10064812182</v>
      </c>
      <c r="E216" s="12">
        <f t="shared" ca="1" si="187"/>
        <v>218612.84426501882</v>
      </c>
      <c r="F216" s="12">
        <f t="shared" ca="1" si="188"/>
        <v>255190.41257214805</v>
      </c>
      <c r="G216" s="12">
        <f t="shared" ca="1" si="189"/>
        <v>286285.41459868272</v>
      </c>
      <c r="H216" s="12">
        <f t="shared" ca="1" si="190"/>
        <v>331110.82439264446</v>
      </c>
      <c r="I216" s="12">
        <f t="shared" ca="1" si="191"/>
        <v>360828.17277494952</v>
      </c>
      <c r="J216" s="12">
        <f t="shared" ca="1" si="192"/>
        <v>423992.75485752354</v>
      </c>
      <c r="K216" s="12">
        <f t="shared" ca="1" si="193"/>
        <v>474887.19303967064</v>
      </c>
      <c r="L216" s="12">
        <f t="shared" ca="1" si="194"/>
        <v>589039.24685577</v>
      </c>
      <c r="M216" s="12">
        <f t="shared" ca="1" si="195"/>
        <v>540633.6092606365</v>
      </c>
      <c r="N216" s="12">
        <f t="shared" ca="1" si="196"/>
        <v>610655.01467523864</v>
      </c>
      <c r="O216" s="12">
        <f t="shared" ca="1" si="197"/>
        <v>720986.97887889645</v>
      </c>
      <c r="P216" s="12">
        <f t="shared" ca="1" si="198"/>
        <v>778801.95247626316</v>
      </c>
      <c r="Q216" s="12">
        <f t="shared" ca="1" si="199"/>
        <v>880615.7428521039</v>
      </c>
      <c r="R216" s="12">
        <f t="shared" ca="1" si="200"/>
        <v>1005841.099040488</v>
      </c>
      <c r="S216" s="12">
        <f t="shared" ca="1" si="201"/>
        <v>1083304.0681021076</v>
      </c>
      <c r="T216" s="12">
        <f t="shared" ca="1" si="202"/>
        <v>1096120.9196800597</v>
      </c>
      <c r="U216" s="12">
        <f t="shared" ca="1" si="203"/>
        <v>1390115.0038309139</v>
      </c>
      <c r="V216" s="12">
        <f t="shared" ca="1" si="204"/>
        <v>1662628.6052265186</v>
      </c>
      <c r="W216" s="12">
        <f t="shared" ca="1" si="205"/>
        <v>1957340.5427430212</v>
      </c>
      <c r="X216" s="12">
        <f t="shared" ca="1" si="206"/>
        <v>2083438.4834861448</v>
      </c>
      <c r="Y216" s="12">
        <f t="shared" ca="1" si="207"/>
        <v>2284676.8423088174</v>
      </c>
      <c r="Z216" s="12">
        <f t="shared" ca="1" si="208"/>
        <v>2202507.9700334636</v>
      </c>
      <c r="AA216" s="12">
        <f t="shared" ca="1" si="209"/>
        <v>2725675.4516598699</v>
      </c>
      <c r="AB216" s="12">
        <f t="shared" ca="1" si="210"/>
        <v>2812911.970684547</v>
      </c>
      <c r="AC216" s="12">
        <f t="shared" ca="1" si="211"/>
        <v>3385293.6379245762</v>
      </c>
      <c r="AD216" s="12">
        <f t="shared" ca="1" si="212"/>
        <v>3764820.7611793266</v>
      </c>
      <c r="AE216" s="12">
        <f t="shared" ca="1" si="213"/>
        <v>3559213.4158944776</v>
      </c>
      <c r="AF216" s="12">
        <f t="shared" ca="1" si="214"/>
        <v>2886917.1376993624</v>
      </c>
      <c r="AG216" s="12">
        <f t="shared" ca="1" si="215"/>
        <v>3231015.8891603062</v>
      </c>
      <c r="AH216" s="12">
        <f t="shared" ca="1" si="216"/>
        <v>3231015.8891603062</v>
      </c>
    </row>
    <row r="218" spans="2:34" x14ac:dyDescent="0.25">
      <c r="B218" s="3" t="s">
        <v>278</v>
      </c>
    </row>
    <row r="219" spans="2:34" x14ac:dyDescent="0.25">
      <c r="C219" s="6" t="s">
        <v>279</v>
      </c>
      <c r="D219" s="12">
        <f t="shared" ref="D219:AG219" ca="1" si="217">PERCENTILE(D17:D216,0.1)</f>
        <v>166799.80395365163</v>
      </c>
      <c r="E219" s="12">
        <f t="shared" ca="1" si="217"/>
        <v>180958.56758635305</v>
      </c>
      <c r="F219" s="12">
        <f t="shared" ca="1" si="217"/>
        <v>199220.43356238658</v>
      </c>
      <c r="G219" s="12">
        <f t="shared" ca="1" si="217"/>
        <v>225702.55424579591</v>
      </c>
      <c r="H219" s="12">
        <f t="shared" ca="1" si="217"/>
        <v>248619.52942972665</v>
      </c>
      <c r="I219" s="12">
        <f t="shared" ca="1" si="217"/>
        <v>269865.84168899385</v>
      </c>
      <c r="J219" s="12">
        <f t="shared" ca="1" si="217"/>
        <v>294331.54680490028</v>
      </c>
      <c r="K219" s="12">
        <f t="shared" ca="1" si="217"/>
        <v>322178.76534862933</v>
      </c>
      <c r="L219" s="12">
        <f t="shared" ca="1" si="217"/>
        <v>355937.16107084492</v>
      </c>
      <c r="M219" s="12">
        <f t="shared" ca="1" si="217"/>
        <v>398958.52850114135</v>
      </c>
      <c r="N219" s="12">
        <f t="shared" ca="1" si="217"/>
        <v>431049.71815639618</v>
      </c>
      <c r="O219" s="12">
        <f t="shared" ca="1" si="217"/>
        <v>463666.35053582885</v>
      </c>
      <c r="P219" s="12">
        <f t="shared" ca="1" si="217"/>
        <v>496979.51916958473</v>
      </c>
      <c r="Q219" s="12">
        <f t="shared" ca="1" si="217"/>
        <v>553555.26489572728</v>
      </c>
      <c r="R219" s="12">
        <f t="shared" ca="1" si="217"/>
        <v>578939.6301061681</v>
      </c>
      <c r="S219" s="12">
        <f t="shared" ca="1" si="217"/>
        <v>607266.61664696771</v>
      </c>
      <c r="T219" s="12">
        <f t="shared" ca="1" si="217"/>
        <v>667957.3782197542</v>
      </c>
      <c r="U219" s="12">
        <f t="shared" ca="1" si="217"/>
        <v>722120.15616020805</v>
      </c>
      <c r="V219" s="12">
        <f t="shared" ca="1" si="217"/>
        <v>744969.25762820512</v>
      </c>
      <c r="W219" s="12">
        <f t="shared" ca="1" si="217"/>
        <v>804665.20626598131</v>
      </c>
      <c r="X219" s="12">
        <f t="shared" ca="1" si="217"/>
        <v>875481.23767470708</v>
      </c>
      <c r="Y219" s="12">
        <f t="shared" ca="1" si="217"/>
        <v>927989.58643443242</v>
      </c>
      <c r="Z219" s="12">
        <f t="shared" ca="1" si="217"/>
        <v>975397.9058414246</v>
      </c>
      <c r="AA219" s="12">
        <f t="shared" ca="1" si="217"/>
        <v>1058358.7384593836</v>
      </c>
      <c r="AB219" s="12">
        <f t="shared" ca="1" si="217"/>
        <v>1130818.3256365403</v>
      </c>
      <c r="AC219" s="12">
        <f t="shared" ca="1" si="217"/>
        <v>1212449.3202595687</v>
      </c>
      <c r="AD219" s="12">
        <f t="shared" ca="1" si="217"/>
        <v>1301324.4353169703</v>
      </c>
      <c r="AE219" s="12">
        <f t="shared" ca="1" si="217"/>
        <v>1373467.119650109</v>
      </c>
      <c r="AF219" s="12">
        <f t="shared" ca="1" si="217"/>
        <v>1452949.8972088515</v>
      </c>
      <c r="AG219" s="12">
        <f t="shared" ca="1" si="217"/>
        <v>1530736.8071404689</v>
      </c>
    </row>
    <row r="220" spans="2:34" x14ac:dyDescent="0.25">
      <c r="C220" s="6" t="s">
        <v>280</v>
      </c>
      <c r="D220" s="12">
        <f t="shared" ref="D220:AG220" ca="1" si="218">PERCENTILE(D17:D216,0.5)</f>
        <v>187846.78238523717</v>
      </c>
      <c r="E220" s="12">
        <f t="shared" ca="1" si="218"/>
        <v>214187.69664647774</v>
      </c>
      <c r="F220" s="12">
        <f t="shared" ca="1" si="218"/>
        <v>249587.90056590235</v>
      </c>
      <c r="G220" s="12">
        <f t="shared" ca="1" si="218"/>
        <v>281718.49250749068</v>
      </c>
      <c r="H220" s="12">
        <f t="shared" ca="1" si="218"/>
        <v>313517.12143275357</v>
      </c>
      <c r="I220" s="12">
        <f t="shared" ca="1" si="218"/>
        <v>345125.68101023743</v>
      </c>
      <c r="J220" s="12">
        <f t="shared" ca="1" si="218"/>
        <v>388961.03756985726</v>
      </c>
      <c r="K220" s="12">
        <f t="shared" ca="1" si="218"/>
        <v>436749.12895267783</v>
      </c>
      <c r="L220" s="12">
        <f t="shared" ca="1" si="218"/>
        <v>485560.96369823278</v>
      </c>
      <c r="M220" s="12">
        <f t="shared" ca="1" si="218"/>
        <v>544755.34241632186</v>
      </c>
      <c r="N220" s="12">
        <f t="shared" ca="1" si="218"/>
        <v>580800.41730310535</v>
      </c>
      <c r="O220" s="12">
        <f t="shared" ca="1" si="218"/>
        <v>641904.93141605926</v>
      </c>
      <c r="P220" s="12">
        <f t="shared" ca="1" si="218"/>
        <v>714754.64205218491</v>
      </c>
      <c r="Q220" s="12">
        <f t="shared" ca="1" si="218"/>
        <v>762078.37618757621</v>
      </c>
      <c r="R220" s="12">
        <f t="shared" ca="1" si="218"/>
        <v>815417.55950996093</v>
      </c>
      <c r="S220" s="12">
        <f t="shared" ca="1" si="218"/>
        <v>893590.40714907018</v>
      </c>
      <c r="T220" s="12">
        <f t="shared" ca="1" si="218"/>
        <v>966588.4064668162</v>
      </c>
      <c r="U220" s="12">
        <f t="shared" ca="1" si="218"/>
        <v>1058516.0320626807</v>
      </c>
      <c r="V220" s="12">
        <f t="shared" ca="1" si="218"/>
        <v>1137538.082143144</v>
      </c>
      <c r="W220" s="12">
        <f t="shared" ca="1" si="218"/>
        <v>1252589.8143296205</v>
      </c>
      <c r="X220" s="12">
        <f t="shared" ca="1" si="218"/>
        <v>1334705.6287257352</v>
      </c>
      <c r="Y220" s="12">
        <f t="shared" ca="1" si="218"/>
        <v>1452030.0500020585</v>
      </c>
      <c r="Z220" s="12">
        <f t="shared" ca="1" si="218"/>
        <v>1586523.4672143538</v>
      </c>
      <c r="AA220" s="12">
        <f t="shared" ca="1" si="218"/>
        <v>1656515.0871835877</v>
      </c>
      <c r="AB220" s="12">
        <f t="shared" ca="1" si="218"/>
        <v>1751115.6168414697</v>
      </c>
      <c r="AC220" s="12">
        <f t="shared" ca="1" si="218"/>
        <v>1902403.1258049877</v>
      </c>
      <c r="AD220" s="12">
        <f t="shared" ca="1" si="218"/>
        <v>2034701.2933875392</v>
      </c>
      <c r="AE220" s="12">
        <f t="shared" ca="1" si="218"/>
        <v>2138833.6659599259</v>
      </c>
      <c r="AF220" s="12">
        <f t="shared" ca="1" si="218"/>
        <v>2278316.8130263491</v>
      </c>
      <c r="AG220" s="12">
        <f t="shared" ca="1" si="218"/>
        <v>2475363.8518358902</v>
      </c>
    </row>
    <row r="221" spans="2:34" x14ac:dyDescent="0.25">
      <c r="C221" s="6" t="s">
        <v>281</v>
      </c>
      <c r="D221" s="12">
        <f t="shared" ref="D221:AG221" ca="1" si="219">PERCENTILE(D17:D216,0.9)</f>
        <v>211029.17872628631</v>
      </c>
      <c r="E221" s="12">
        <f t="shared" ca="1" si="219"/>
        <v>253415.52458438431</v>
      </c>
      <c r="F221" s="12">
        <f t="shared" ca="1" si="219"/>
        <v>296720.99195248075</v>
      </c>
      <c r="G221" s="12">
        <f t="shared" ca="1" si="219"/>
        <v>351021.33658769529</v>
      </c>
      <c r="H221" s="12">
        <f t="shared" ca="1" si="219"/>
        <v>391147.7140863809</v>
      </c>
      <c r="I221" s="12">
        <f t="shared" ca="1" si="219"/>
        <v>448409.00162805023</v>
      </c>
      <c r="J221" s="12">
        <f t="shared" ca="1" si="219"/>
        <v>512180.31844643527</v>
      </c>
      <c r="K221" s="12">
        <f t="shared" ca="1" si="219"/>
        <v>571329.42893663375</v>
      </c>
      <c r="L221" s="12">
        <f t="shared" ca="1" si="219"/>
        <v>663132.06749855145</v>
      </c>
      <c r="M221" s="12">
        <f t="shared" ca="1" si="219"/>
        <v>731493.97363571927</v>
      </c>
      <c r="N221" s="12">
        <f t="shared" ca="1" si="219"/>
        <v>810673.39987054153</v>
      </c>
      <c r="O221" s="12">
        <f t="shared" ca="1" si="219"/>
        <v>914778.44344451581</v>
      </c>
      <c r="P221" s="12">
        <f t="shared" ca="1" si="219"/>
        <v>1030015.0228217064</v>
      </c>
      <c r="Q221" s="12">
        <f t="shared" ca="1" si="219"/>
        <v>1135048.3603420283</v>
      </c>
      <c r="R221" s="12">
        <f t="shared" ca="1" si="219"/>
        <v>1234093.2976523354</v>
      </c>
      <c r="S221" s="12">
        <f t="shared" ca="1" si="219"/>
        <v>1329352.9710035287</v>
      </c>
      <c r="T221" s="12">
        <f t="shared" ca="1" si="219"/>
        <v>1474241.9007691033</v>
      </c>
      <c r="U221" s="12">
        <f t="shared" ca="1" si="219"/>
        <v>1676108.239756627</v>
      </c>
      <c r="V221" s="12">
        <f t="shared" ca="1" si="219"/>
        <v>1811035.6850505364</v>
      </c>
      <c r="W221" s="12">
        <f t="shared" ca="1" si="219"/>
        <v>1970621.3988494514</v>
      </c>
      <c r="X221" s="12">
        <f t="shared" ca="1" si="219"/>
        <v>2102221.2962673488</v>
      </c>
      <c r="Y221" s="12">
        <f t="shared" ca="1" si="219"/>
        <v>2370043.7498726067</v>
      </c>
      <c r="Z221" s="12">
        <f t="shared" ca="1" si="219"/>
        <v>2534775.4708741582</v>
      </c>
      <c r="AA221" s="12">
        <f t="shared" ca="1" si="219"/>
        <v>2781516.5773722329</v>
      </c>
      <c r="AB221" s="12">
        <f t="shared" ca="1" si="219"/>
        <v>2857168.6091380292</v>
      </c>
      <c r="AC221" s="12">
        <f t="shared" ca="1" si="219"/>
        <v>3011871.4642977859</v>
      </c>
      <c r="AD221" s="12">
        <f t="shared" ca="1" si="219"/>
        <v>3417500.7712713997</v>
      </c>
      <c r="AE221" s="12">
        <f t="shared" ca="1" si="219"/>
        <v>3506482.8197415527</v>
      </c>
      <c r="AF221" s="12">
        <f t="shared" ca="1" si="219"/>
        <v>3736080.0141685181</v>
      </c>
      <c r="AG221" s="12">
        <f t="shared" ca="1" si="219"/>
        <v>4070250.1844811556</v>
      </c>
    </row>
  </sheetData>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F14"/>
  <sheetViews>
    <sheetView showGridLines="0" topLeftCell="A26" zoomScaleNormal="100" workbookViewId="0">
      <selection activeCell="E15" sqref="E15"/>
    </sheetView>
  </sheetViews>
  <sheetFormatPr defaultColWidth="8.7109375" defaultRowHeight="15" x14ac:dyDescent="0.25"/>
  <cols>
    <col min="1" max="1" width="3" customWidth="1"/>
    <col min="2" max="2" width="34" customWidth="1"/>
    <col min="3" max="6" width="15" customWidth="1"/>
  </cols>
  <sheetData>
    <row r="2" spans="2:6" ht="18" x14ac:dyDescent="0.25">
      <c r="B2" s="58" t="s">
        <v>282</v>
      </c>
      <c r="C2" s="59"/>
    </row>
    <row r="3" spans="2:6" x14ac:dyDescent="0.25">
      <c r="B3" s="60" t="s">
        <v>283</v>
      </c>
      <c r="C3" s="59"/>
    </row>
    <row r="5" spans="2:6" x14ac:dyDescent="0.25">
      <c r="B5" s="3" t="s">
        <v>284</v>
      </c>
    </row>
    <row r="6" spans="2:6" ht="25.5" customHeight="1" x14ac:dyDescent="0.25">
      <c r="B6" s="21"/>
      <c r="C6" s="48" t="s">
        <v>285</v>
      </c>
      <c r="D6" s="48" t="s">
        <v>286</v>
      </c>
      <c r="E6" s="48" t="s">
        <v>287</v>
      </c>
      <c r="F6" s="48" t="s">
        <v>288</v>
      </c>
    </row>
    <row r="7" spans="2:6" x14ac:dyDescent="0.25">
      <c r="B7" s="30" t="s">
        <v>289</v>
      </c>
      <c r="C7" s="40">
        <f>Scenarios!C7</f>
        <v>1413531.3700423115</v>
      </c>
      <c r="D7" s="40">
        <f>Scenarios!H7</f>
        <v>2891692.7020085547</v>
      </c>
      <c r="E7" s="40">
        <f>Scenarios!M7</f>
        <v>1413531.3700423115</v>
      </c>
      <c r="F7" s="40">
        <f>Scenarios!R7</f>
        <v>2152612.0360254324</v>
      </c>
    </row>
    <row r="8" spans="2:6" x14ac:dyDescent="0.25">
      <c r="B8" s="30" t="s">
        <v>290</v>
      </c>
      <c r="C8" s="40">
        <f>Scenarios!C10</f>
        <v>2770854.4442130262</v>
      </c>
      <c r="D8" s="40">
        <f>Scenarios!H10</f>
        <v>3273165.6779065463</v>
      </c>
      <c r="E8" s="40">
        <f>Scenarios!M10</f>
        <v>2671414.9703829642</v>
      </c>
      <c r="F8" s="40">
        <f>Scenarios!R10</f>
        <v>2950551.1850796007</v>
      </c>
    </row>
    <row r="9" spans="2:6" x14ac:dyDescent="0.25">
      <c r="B9" s="30" t="s">
        <v>246</v>
      </c>
      <c r="C9" s="42">
        <f>Scenarios!C11</f>
        <v>24</v>
      </c>
      <c r="D9" s="42">
        <f>Scenarios!H11</f>
        <v>24</v>
      </c>
      <c r="E9" s="42">
        <f>Scenarios!M11</f>
        <v>13</v>
      </c>
      <c r="F9" s="42">
        <f>Scenarios!R11</f>
        <v>17</v>
      </c>
    </row>
    <row r="10" spans="2:6" x14ac:dyDescent="0.25">
      <c r="B10" s="30" t="s">
        <v>291</v>
      </c>
      <c r="C10" s="40">
        <f>Scenarios!C14</f>
        <v>110834.17776852105</v>
      </c>
      <c r="D10" s="40">
        <f>Scenarios!H14</f>
        <v>130926.62711626185</v>
      </c>
      <c r="E10" s="40">
        <f>Scenarios!M14</f>
        <v>106856.59881531858</v>
      </c>
      <c r="F10" s="40">
        <f>Scenarios!R14</f>
        <v>118022.04740318403</v>
      </c>
    </row>
    <row r="11" spans="2:6" x14ac:dyDescent="0.25">
      <c r="B11" s="30" t="s">
        <v>251</v>
      </c>
      <c r="C11" s="40">
        <f>Scenarios!C16</f>
        <v>-24265.822231478945</v>
      </c>
      <c r="D11" s="40">
        <f>Scenarios!H16</f>
        <v>-4173.3728837381495</v>
      </c>
      <c r="E11" s="40">
        <f>Scenarios!M16</f>
        <v>-28243.401184681425</v>
      </c>
      <c r="F11" s="40">
        <f>Scenarios!R16</f>
        <v>-17077.952596815972</v>
      </c>
    </row>
    <row r="12" spans="2:6" x14ac:dyDescent="0.25">
      <c r="B12" s="30" t="s">
        <v>250</v>
      </c>
      <c r="C12" s="40">
        <f>Scenarios!$C$15</f>
        <v>135100</v>
      </c>
      <c r="D12" s="40">
        <f>Scenarios!$C$15</f>
        <v>135100</v>
      </c>
      <c r="E12" s="40">
        <f>Scenarios!$C$15</f>
        <v>135100</v>
      </c>
      <c r="F12" s="40">
        <f>Scenarios!$C$15</f>
        <v>135100</v>
      </c>
    </row>
    <row r="14" spans="2:6" ht="26.25" x14ac:dyDescent="0.25">
      <c r="B14" s="45" t="s">
        <v>307</v>
      </c>
      <c r="C14" s="49">
        <f ca="1">MonteCarlo!$G$11</f>
        <v>5.0000000000000001E-3</v>
      </c>
    </row>
  </sheetData>
  <pageMargins left="0.75" right="0.75" top="1" bottom="1" header="0.511811023622047" footer="0.511811023622047"/>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ClientBrief</vt:lpstr>
      <vt:lpstr>Inputs</vt:lpstr>
      <vt:lpstr>Rules</vt:lpstr>
      <vt:lpstr>Engine</vt:lpstr>
      <vt:lpstr>Scenarios</vt:lpstr>
      <vt:lpstr>Sensitivity</vt:lpstr>
      <vt:lpstr>MonteCarlo</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Thai Hoang Anh Lai</cp:lastModifiedBy>
  <cp:revision>1</cp:revision>
  <dcterms:created xsi:type="dcterms:W3CDTF">2026-09-19T00:00:48Z</dcterms:created>
  <dcterms:modified xsi:type="dcterms:W3CDTF">2026-09-19T03:42:31Z</dcterms:modified>
  <dc:language>en-US</dc:language>
</cp:coreProperties>
</file>